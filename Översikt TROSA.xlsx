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46100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46100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46100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48791-2024</t>
        </is>
      </c>
      <c r="B5" s="1" t="n">
        <v>45593</v>
      </c>
      <c r="C5" s="1" t="n">
        <v>46100</v>
      </c>
      <c r="D5" t="inlineStr">
        <is>
          <t>SÖDERMANLANDS LÄN</t>
        </is>
      </c>
      <c r="E5" t="inlineStr">
        <is>
          <t>TROSA</t>
        </is>
      </c>
      <c r="G5" t="n">
        <v>20.7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Svavelriska</t>
        </is>
      </c>
      <c r="S5">
        <f>HYPERLINK("https://klasma.github.io/Logging_0488/artfynd/A 48791-2024 artfynd.xlsx", "A 48791-2024")</f>
        <v/>
      </c>
      <c r="T5">
        <f>HYPERLINK("https://klasma.github.io/Logging_0488/kartor/A 48791-2024 karta.png", "A 48791-2024")</f>
        <v/>
      </c>
      <c r="V5">
        <f>HYPERLINK("https://klasma.github.io/Logging_0488/klagomål/A 48791-2024 FSC-klagomål.docx", "A 48791-2024")</f>
        <v/>
      </c>
      <c r="W5">
        <f>HYPERLINK("https://klasma.github.io/Logging_0488/klagomålsmail/A 48791-2024 FSC-klagomål mail.docx", "A 48791-2024")</f>
        <v/>
      </c>
      <c r="X5">
        <f>HYPERLINK("https://klasma.github.io/Logging_0488/tillsyn/A 48791-2024 tillsynsbegäran.docx", "A 48791-2024")</f>
        <v/>
      </c>
      <c r="Y5">
        <f>HYPERLINK("https://klasma.github.io/Logging_0488/tillsynsmail/A 48791-2024 tillsynsbegäran mail.docx", "A 48791-2024")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46100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46100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57004-2023</t>
        </is>
      </c>
      <c r="B8" s="1" t="n">
        <v>45244</v>
      </c>
      <c r="C8" s="1" t="n">
        <v>46100</v>
      </c>
      <c r="D8" t="inlineStr">
        <is>
          <t>SÖDERMANLANDS LÄN</t>
        </is>
      </c>
      <c r="E8" t="inlineStr">
        <is>
          <t>TROSA</t>
        </is>
      </c>
      <c r="F8" t="inlineStr">
        <is>
          <t>Kommuner</t>
        </is>
      </c>
      <c r="G8" t="n">
        <v>0.7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HYPERLINK("https://klasma.github.io/Logging_0488/artfynd/A 57004-2023 artfynd.xlsx", "A 57004-2023")</f>
        <v/>
      </c>
      <c r="T8">
        <f>HYPERLINK("https://klasma.github.io/Logging_0488/kartor/A 57004-2023 karta.png", "A 57004-2023")</f>
        <v/>
      </c>
      <c r="V8">
        <f>HYPERLINK("https://klasma.github.io/Logging_0488/klagomål/A 57004-2023 FSC-klagomål.docx", "A 57004-2023")</f>
        <v/>
      </c>
      <c r="W8">
        <f>HYPERLINK("https://klasma.github.io/Logging_0488/klagomålsmail/A 57004-2023 FSC-klagomål mail.docx", "A 57004-2023")</f>
        <v/>
      </c>
      <c r="X8">
        <f>HYPERLINK("https://klasma.github.io/Logging_0488/tillsyn/A 57004-2023 tillsynsbegäran.docx", "A 57004-2023")</f>
        <v/>
      </c>
      <c r="Y8">
        <f>HYPERLINK("https://klasma.github.io/Logging_0488/tillsynsmail/A 57004-2023 tillsynsbegäran mail.docx", "A 57004-2023")</f>
        <v/>
      </c>
      <c r="Z8">
        <f>HYPERLINK("https://klasma.github.io/Logging_0488/fåglar/A 57004-2023 prioriterade fågelarter.docx", "A 57004-2023")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46100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46100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46100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46100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46100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46100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46100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46100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46100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46100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46100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46100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46100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36710-2024</t>
        </is>
      </c>
      <c r="B22" s="1" t="n">
        <v>45537</v>
      </c>
      <c r="C22" s="1" t="n">
        <v>46100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61000-2024</t>
        </is>
      </c>
      <c r="B23" s="1" t="n">
        <v>45645.43471064815</v>
      </c>
      <c r="C23" s="1" t="n">
        <v>46100</v>
      </c>
      <c r="D23" t="inlineStr">
        <is>
          <t>SÖDERMANLANDS LÄN</t>
        </is>
      </c>
      <c r="E23" t="inlineStr">
        <is>
          <t>TROSA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13839-2023</t>
        </is>
      </c>
      <c r="B24" s="1" t="n">
        <v>45007</v>
      </c>
      <c r="C24" s="1" t="n">
        <v>46100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6102-2022</t>
        </is>
      </c>
      <c r="B25" s="1" t="n">
        <v>44599</v>
      </c>
      <c r="C25" s="1" t="n">
        <v>46100</v>
      </c>
      <c r="D25" t="inlineStr">
        <is>
          <t>SÖDERMANLANDS LÄN</t>
        </is>
      </c>
      <c r="E25" t="inlineStr">
        <is>
          <t>TROSA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40169-2021</t>
        </is>
      </c>
      <c r="B26" s="1" t="n">
        <v>44418</v>
      </c>
      <c r="C26" s="1" t="n">
        <v>46100</v>
      </c>
      <c r="D26" t="inlineStr">
        <is>
          <t>SÖDERMANLANDS LÄN</t>
        </is>
      </c>
      <c r="E26" t="inlineStr">
        <is>
          <t>TROSA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56117-2022</t>
        </is>
      </c>
      <c r="B27" s="1" t="n">
        <v>44889</v>
      </c>
      <c r="C27" s="1" t="n">
        <v>46100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15169-2023</t>
        </is>
      </c>
      <c r="B28" s="1" t="n">
        <v>45016</v>
      </c>
      <c r="C28" s="1" t="n">
        <v>46100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36712-2024</t>
        </is>
      </c>
      <c r="B29" s="1" t="n">
        <v>45537</v>
      </c>
      <c r="C29" s="1" t="n">
        <v>46100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36709-2024</t>
        </is>
      </c>
      <c r="B30" s="1" t="n">
        <v>45537</v>
      </c>
      <c r="C30" s="1" t="n">
        <v>46100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36711-2024</t>
        </is>
      </c>
      <c r="B31" s="1" t="n">
        <v>45537</v>
      </c>
      <c r="C31" s="1" t="n">
        <v>46100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44720-2022</t>
        </is>
      </c>
      <c r="B32" s="1" t="n">
        <v>44840</v>
      </c>
      <c r="C32" s="1" t="n">
        <v>46100</v>
      </c>
      <c r="D32" t="inlineStr">
        <is>
          <t>SÖDERMANLANDS LÄN</t>
        </is>
      </c>
      <c r="E32" t="inlineStr">
        <is>
          <t>TROSA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15604-2021</t>
        </is>
      </c>
      <c r="B33" s="1" t="n">
        <v>44285</v>
      </c>
      <c r="C33" s="1" t="n">
        <v>46100</v>
      </c>
      <c r="D33" t="inlineStr">
        <is>
          <t>SÖDERMANLANDS LÄN</t>
        </is>
      </c>
      <c r="E33" t="inlineStr">
        <is>
          <t>TROSA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13829-2023</t>
        </is>
      </c>
      <c r="B34" s="1" t="n">
        <v>45007</v>
      </c>
      <c r="C34" s="1" t="n">
        <v>46100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1431-2023</t>
        </is>
      </c>
      <c r="B35" s="1" t="n">
        <v>44937</v>
      </c>
      <c r="C35" s="1" t="n">
        <v>46100</v>
      </c>
      <c r="D35" t="inlineStr">
        <is>
          <t>SÖDERMANLANDS LÄN</t>
        </is>
      </c>
      <c r="E35" t="inlineStr">
        <is>
          <t>TROSA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48793-2024</t>
        </is>
      </c>
      <c r="B36" s="1" t="n">
        <v>45593</v>
      </c>
      <c r="C36" s="1" t="n">
        <v>46100</v>
      </c>
      <c r="D36" t="inlineStr">
        <is>
          <t>SÖDERMANLANDS LÄN</t>
        </is>
      </c>
      <c r="E36" t="inlineStr">
        <is>
          <t>TROSA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11736-2024</t>
        </is>
      </c>
      <c r="B37" s="1" t="n">
        <v>45373</v>
      </c>
      <c r="C37" s="1" t="n">
        <v>46100</v>
      </c>
      <c r="D37" t="inlineStr">
        <is>
          <t>SÖDERMANLANDS LÄN</t>
        </is>
      </c>
      <c r="E37" t="inlineStr">
        <is>
          <t>TROSA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11740-2024</t>
        </is>
      </c>
      <c r="B38" s="1" t="n">
        <v>45373</v>
      </c>
      <c r="C38" s="1" t="n">
        <v>46100</v>
      </c>
      <c r="D38" t="inlineStr">
        <is>
          <t>SÖDERMANLANDS LÄN</t>
        </is>
      </c>
      <c r="E38" t="inlineStr">
        <is>
          <t>TROSA</t>
        </is>
      </c>
      <c r="F38" t="inlineStr">
        <is>
          <t>Kommuner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29930-2022</t>
        </is>
      </c>
      <c r="B39" s="1" t="n">
        <v>44756</v>
      </c>
      <c r="C39" s="1" t="n">
        <v>46100</v>
      </c>
      <c r="D39" t="inlineStr">
        <is>
          <t>SÖDERMANLANDS LÄN</t>
        </is>
      </c>
      <c r="E39" t="inlineStr">
        <is>
          <t>TROSA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35058-2024</t>
        </is>
      </c>
      <c r="B40" s="1" t="n">
        <v>45527</v>
      </c>
      <c r="C40" s="1" t="n">
        <v>46100</v>
      </c>
      <c r="D40" t="inlineStr">
        <is>
          <t>SÖDERMANLANDS LÄN</t>
        </is>
      </c>
      <c r="E40" t="inlineStr">
        <is>
          <t>TROSA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15593-2025</t>
        </is>
      </c>
      <c r="B41" s="1" t="n">
        <v>45747</v>
      </c>
      <c r="C41" s="1" t="n">
        <v>46100</v>
      </c>
      <c r="D41" t="inlineStr">
        <is>
          <t>SÖDERMANLANDS LÄN</t>
        </is>
      </c>
      <c r="E41" t="inlineStr">
        <is>
          <t>TROSA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62474-2022</t>
        </is>
      </c>
      <c r="B42" s="1" t="n">
        <v>44916</v>
      </c>
      <c r="C42" s="1" t="n">
        <v>46100</v>
      </c>
      <c r="D42" t="inlineStr">
        <is>
          <t>SÖDERMANLANDS LÄN</t>
        </is>
      </c>
      <c r="E42" t="inlineStr">
        <is>
          <t>TROSA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35054-2024</t>
        </is>
      </c>
      <c r="B43" s="1" t="n">
        <v>45527</v>
      </c>
      <c r="C43" s="1" t="n">
        <v>46100</v>
      </c>
      <c r="D43" t="inlineStr">
        <is>
          <t>SÖDERMANLANDS LÄN</t>
        </is>
      </c>
      <c r="E43" t="inlineStr">
        <is>
          <t>TROSA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13810-2023</t>
        </is>
      </c>
      <c r="B44" s="1" t="n">
        <v>45007</v>
      </c>
      <c r="C44" s="1" t="n">
        <v>46100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36812-2024</t>
        </is>
      </c>
      <c r="B45" s="1" t="n">
        <v>45537</v>
      </c>
      <c r="C45" s="1" t="n">
        <v>46100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44579-2022</t>
        </is>
      </c>
      <c r="B46" s="1" t="n">
        <v>44840.4959375</v>
      </c>
      <c r="C46" s="1" t="n">
        <v>46100</v>
      </c>
      <c r="D46" t="inlineStr">
        <is>
          <t>SÖDERMANLANDS LÄN</t>
        </is>
      </c>
      <c r="E46" t="inlineStr">
        <is>
          <t>TROSA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15293-2023</t>
        </is>
      </c>
      <c r="B47" s="1" t="n">
        <v>45019</v>
      </c>
      <c r="C47" s="1" t="n">
        <v>46100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12447-2024</t>
        </is>
      </c>
      <c r="B48" s="1" t="n">
        <v>45379.46974537037</v>
      </c>
      <c r="C48" s="1" t="n">
        <v>46100</v>
      </c>
      <c r="D48" t="inlineStr">
        <is>
          <t>SÖDERMANLANDS LÄN</t>
        </is>
      </c>
      <c r="E48" t="inlineStr">
        <is>
          <t>TROSA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17600-2022</t>
        </is>
      </c>
      <c r="B49" s="1" t="n">
        <v>44680</v>
      </c>
      <c r="C49" s="1" t="n">
        <v>46100</v>
      </c>
      <c r="D49" t="inlineStr">
        <is>
          <t>SÖDERMANLANDS LÄN</t>
        </is>
      </c>
      <c r="E49" t="inlineStr">
        <is>
          <t>TROSA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6124-2022</t>
        </is>
      </c>
      <c r="B50" s="1" t="n">
        <v>44599</v>
      </c>
      <c r="C50" s="1" t="n">
        <v>46100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62473-2022</t>
        </is>
      </c>
      <c r="B51" s="1" t="n">
        <v>44916</v>
      </c>
      <c r="C51" s="1" t="n">
        <v>46100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39827-2024</t>
        </is>
      </c>
      <c r="B52" s="1" t="n">
        <v>45553.40293981481</v>
      </c>
      <c r="C52" s="1" t="n">
        <v>46100</v>
      </c>
      <c r="D52" t="inlineStr">
        <is>
          <t>SÖDERMANLANDS LÄN</t>
        </is>
      </c>
      <c r="E52" t="inlineStr">
        <is>
          <t>TROSA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1589-2023</t>
        </is>
      </c>
      <c r="B53" s="1" t="n">
        <v>44937.6478587963</v>
      </c>
      <c r="C53" s="1" t="n">
        <v>46100</v>
      </c>
      <c r="D53" t="inlineStr">
        <is>
          <t>SÖDERMANLANDS LÄN</t>
        </is>
      </c>
      <c r="E53" t="inlineStr">
        <is>
          <t>TROSA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46451-2025</t>
        </is>
      </c>
      <c r="B54" s="1" t="n">
        <v>45925.65525462963</v>
      </c>
      <c r="C54" s="1" t="n">
        <v>46100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7204-2024</t>
        </is>
      </c>
      <c r="B55" s="1" t="n">
        <v>45344</v>
      </c>
      <c r="C55" s="1" t="n">
        <v>46100</v>
      </c>
      <c r="D55" t="inlineStr">
        <is>
          <t>SÖDERMANLANDS LÄN</t>
        </is>
      </c>
      <c r="E55" t="inlineStr">
        <is>
          <t>TROSA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10998-2024</t>
        </is>
      </c>
      <c r="B56" s="1" t="n">
        <v>45370</v>
      </c>
      <c r="C56" s="1" t="n">
        <v>46100</v>
      </c>
      <c r="D56" t="inlineStr">
        <is>
          <t>SÖDERMANLANDS LÄN</t>
        </is>
      </c>
      <c r="E56" t="inlineStr">
        <is>
          <t>TROSA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47659-2025</t>
        </is>
      </c>
      <c r="B57" s="1" t="n">
        <v>45931.55524305555</v>
      </c>
      <c r="C57" s="1" t="n">
        <v>46100</v>
      </c>
      <c r="D57" t="inlineStr">
        <is>
          <t>SÖDERMANLANDS LÄN</t>
        </is>
      </c>
      <c r="E57" t="inlineStr">
        <is>
          <t>TROSA</t>
        </is>
      </c>
      <c r="F57" t="inlineStr">
        <is>
          <t>Holmen skog AB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16029-2023</t>
        </is>
      </c>
      <c r="B58" s="1" t="n">
        <v>45027</v>
      </c>
      <c r="C58" s="1" t="n">
        <v>46100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31166-2025</t>
        </is>
      </c>
      <c r="B59" s="1" t="n">
        <v>45832.6597337963</v>
      </c>
      <c r="C59" s="1" t="n">
        <v>46100</v>
      </c>
      <c r="D59" t="inlineStr">
        <is>
          <t>SÖDERMANLANDS LÄN</t>
        </is>
      </c>
      <c r="E59" t="inlineStr">
        <is>
          <t>TROSA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48314-2025</t>
        </is>
      </c>
      <c r="B60" s="1" t="n">
        <v>45933</v>
      </c>
      <c r="C60" s="1" t="n">
        <v>46100</v>
      </c>
      <c r="D60" t="inlineStr">
        <is>
          <t>SÖDERMANLANDS LÄN</t>
        </is>
      </c>
      <c r="E60" t="inlineStr">
        <is>
          <t>TROSA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32213-2025</t>
        </is>
      </c>
      <c r="B61" s="1" t="n">
        <v>45835.58582175926</v>
      </c>
      <c r="C61" s="1" t="n">
        <v>46100</v>
      </c>
      <c r="D61" t="inlineStr">
        <is>
          <t>SÖDERMANLANDS LÄN</t>
        </is>
      </c>
      <c r="E61" t="inlineStr">
        <is>
          <t>TROSA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11742-2024</t>
        </is>
      </c>
      <c r="B62" s="1" t="n">
        <v>45373</v>
      </c>
      <c r="C62" s="1" t="n">
        <v>46100</v>
      </c>
      <c r="D62" t="inlineStr">
        <is>
          <t>SÖDERMANLANDS LÄN</t>
        </is>
      </c>
      <c r="E62" t="inlineStr">
        <is>
          <t>TROSA</t>
        </is>
      </c>
      <c r="F62" t="inlineStr">
        <is>
          <t>Kommuner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11743-2024</t>
        </is>
      </c>
      <c r="B63" s="1" t="n">
        <v>45373</v>
      </c>
      <c r="C63" s="1" t="n">
        <v>46100</v>
      </c>
      <c r="D63" t="inlineStr">
        <is>
          <t>SÖDERMANLANDS LÄN</t>
        </is>
      </c>
      <c r="E63" t="inlineStr">
        <is>
          <t>TROSA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55265-2025</t>
        </is>
      </c>
      <c r="B64" s="1" t="n">
        <v>45968.65879629629</v>
      </c>
      <c r="C64" s="1" t="n">
        <v>46100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55257-2025</t>
        </is>
      </c>
      <c r="B65" s="1" t="n">
        <v>45968.64399305556</v>
      </c>
      <c r="C65" s="1" t="n">
        <v>46100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11066-2024</t>
        </is>
      </c>
      <c r="B66" s="1" t="n">
        <v>45370</v>
      </c>
      <c r="C66" s="1" t="n">
        <v>46100</v>
      </c>
      <c r="D66" t="inlineStr">
        <is>
          <t>SÖDERMANLANDS LÄN</t>
        </is>
      </c>
      <c r="E66" t="inlineStr">
        <is>
          <t>TROSA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57251-2025</t>
        </is>
      </c>
      <c r="B67" s="1" t="n">
        <v>45979</v>
      </c>
      <c r="C67" s="1" t="n">
        <v>46100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57342-2025</t>
        </is>
      </c>
      <c r="B68" s="1" t="n">
        <v>45979</v>
      </c>
      <c r="C68" s="1" t="n">
        <v>46100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57338-2025</t>
        </is>
      </c>
      <c r="B69" s="1" t="n">
        <v>45979</v>
      </c>
      <c r="C69" s="1" t="n">
        <v>46100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57246-2025</t>
        </is>
      </c>
      <c r="B70" s="1" t="n">
        <v>45979</v>
      </c>
      <c r="C70" s="1" t="n">
        <v>46100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18565-2025</t>
        </is>
      </c>
      <c r="B71" s="1" t="n">
        <v>45763.45225694445</v>
      </c>
      <c r="C71" s="1" t="n">
        <v>46100</v>
      </c>
      <c r="D71" t="inlineStr">
        <is>
          <t>SÖDERMANLANDS LÄN</t>
        </is>
      </c>
      <c r="E71" t="inlineStr">
        <is>
          <t>TROSA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57344-2025</t>
        </is>
      </c>
      <c r="B72" s="1" t="n">
        <v>45979</v>
      </c>
      <c r="C72" s="1" t="n">
        <v>46100</v>
      </c>
      <c r="D72" t="inlineStr">
        <is>
          <t>SÖDERMANLANDS LÄN</t>
        </is>
      </c>
      <c r="E72" t="inlineStr">
        <is>
          <t>TROSA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56965-2025</t>
        </is>
      </c>
      <c r="B73" s="1" t="n">
        <v>45978</v>
      </c>
      <c r="C73" s="1" t="n">
        <v>46100</v>
      </c>
      <c r="D73" t="inlineStr">
        <is>
          <t>SÖDERMANLANDS LÄN</t>
        </is>
      </c>
      <c r="E73" t="inlineStr">
        <is>
          <t>TROSA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13675-2025</t>
        </is>
      </c>
      <c r="B74" s="1" t="n">
        <v>45736.93336805556</v>
      </c>
      <c r="C74" s="1" t="n">
        <v>46100</v>
      </c>
      <c r="D74" t="inlineStr">
        <is>
          <t>SÖDERMANLANDS LÄN</t>
        </is>
      </c>
      <c r="E74" t="inlineStr">
        <is>
          <t>TROSA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59112-2025</t>
        </is>
      </c>
      <c r="B75" s="1" t="n">
        <v>45988.48501157408</v>
      </c>
      <c r="C75" s="1" t="n">
        <v>46100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57005-2024</t>
        </is>
      </c>
      <c r="B76" s="1" t="n">
        <v>45628</v>
      </c>
      <c r="C76" s="1" t="n">
        <v>46100</v>
      </c>
      <c r="D76" t="inlineStr">
        <is>
          <t>SÖDERMANLANDS LÄN</t>
        </is>
      </c>
      <c r="E76" t="inlineStr">
        <is>
          <t>TROSA</t>
        </is>
      </c>
      <c r="F76" t="inlineStr">
        <is>
          <t>Kyrkan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59222-2025</t>
        </is>
      </c>
      <c r="B77" s="1" t="n">
        <v>45988.61856481482</v>
      </c>
      <c r="C77" s="1" t="n">
        <v>46100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64286-2023</t>
        </is>
      </c>
      <c r="B78" s="1" t="n">
        <v>45280</v>
      </c>
      <c r="C78" s="1" t="n">
        <v>46100</v>
      </c>
      <c r="D78" t="inlineStr">
        <is>
          <t>SÖDERMANLANDS LÄN</t>
        </is>
      </c>
      <c r="E78" t="inlineStr">
        <is>
          <t>TROSA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10390-2026</t>
        </is>
      </c>
      <c r="B79" s="1" t="n">
        <v>46077.29386574074</v>
      </c>
      <c r="C79" s="1" t="n">
        <v>46100</v>
      </c>
      <c r="D79" t="inlineStr">
        <is>
          <t>SÖDERMANLANDS LÄN</t>
        </is>
      </c>
      <c r="E79" t="inlineStr">
        <is>
          <t>TROSA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10393-2026</t>
        </is>
      </c>
      <c r="B80" s="1" t="n">
        <v>46077.30393518518</v>
      </c>
      <c r="C80" s="1" t="n">
        <v>46100</v>
      </c>
      <c r="D80" t="inlineStr">
        <is>
          <t>SÖDERMANLANDS LÄN</t>
        </is>
      </c>
      <c r="E80" t="inlineStr">
        <is>
          <t>TROSA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11119-2026</t>
        </is>
      </c>
      <c r="B81" s="1" t="n">
        <v>46079.67304398148</v>
      </c>
      <c r="C81" s="1" t="n">
        <v>46100</v>
      </c>
      <c r="D81" t="inlineStr">
        <is>
          <t>SÖDERMANLANDS LÄN</t>
        </is>
      </c>
      <c r="E81" t="inlineStr">
        <is>
          <t>TROSA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11103-2026</t>
        </is>
      </c>
      <c r="B82" s="1" t="n">
        <v>46079.65329861111</v>
      </c>
      <c r="C82" s="1" t="n">
        <v>46100</v>
      </c>
      <c r="D82" t="inlineStr">
        <is>
          <t>SÖDERMANLANDS LÄN</t>
        </is>
      </c>
      <c r="E82" t="inlineStr">
        <is>
          <t>TROSA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3337-2026</t>
        </is>
      </c>
      <c r="B83" s="1" t="n">
        <v>46041.82646990741</v>
      </c>
      <c r="C83" s="1" t="n">
        <v>46100</v>
      </c>
      <c r="D83" t="inlineStr">
        <is>
          <t>SÖDERMANLANDS LÄN</t>
        </is>
      </c>
      <c r="E83" t="inlineStr">
        <is>
          <t>TROSA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3346-2026</t>
        </is>
      </c>
      <c r="B84" s="1" t="n">
        <v>46041.87569444445</v>
      </c>
      <c r="C84" s="1" t="n">
        <v>46100</v>
      </c>
      <c r="D84" t="inlineStr">
        <is>
          <t>SÖDERMANLANDS LÄN</t>
        </is>
      </c>
      <c r="E84" t="inlineStr">
        <is>
          <t>TROSA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12574-2026</t>
        </is>
      </c>
      <c r="B85" s="1" t="n">
        <v>46090.66535879629</v>
      </c>
      <c r="C85" s="1" t="n">
        <v>46100</v>
      </c>
      <c r="D85" t="inlineStr">
        <is>
          <t>SÖDERMANLANDS LÄN</t>
        </is>
      </c>
      <c r="E85" t="inlineStr">
        <is>
          <t>TROSA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11083-2026</t>
        </is>
      </c>
      <c r="B86" s="1" t="n">
        <v>46079</v>
      </c>
      <c r="C86" s="1" t="n">
        <v>46100</v>
      </c>
      <c r="D86" t="inlineStr">
        <is>
          <t>SÖDERMANLANDS LÄN</t>
        </is>
      </c>
      <c r="E86" t="inlineStr">
        <is>
          <t>TROSA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11039-2026</t>
        </is>
      </c>
      <c r="B87" s="1" t="n">
        <v>46079</v>
      </c>
      <c r="C87" s="1" t="n">
        <v>46100</v>
      </c>
      <c r="D87" t="inlineStr">
        <is>
          <t>SÖDERMANLANDS LÄN</t>
        </is>
      </c>
      <c r="E87" t="inlineStr">
        <is>
          <t>TROSA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11069-2026</t>
        </is>
      </c>
      <c r="B88" s="1" t="n">
        <v>46079</v>
      </c>
      <c r="C88" s="1" t="n">
        <v>46100</v>
      </c>
      <c r="D88" t="inlineStr">
        <is>
          <t>SÖDERMANLANDS LÄN</t>
        </is>
      </c>
      <c r="E88" t="inlineStr">
        <is>
          <t>TROSA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2026-03-19T11:31:49Z</dcterms:created>
  <dcterms:modified xmlns:dcterms="http://purl.org/dc/terms/" xmlns:xsi="http://www.w3.org/2001/XMLSchema-instance" xsi:type="dcterms:W3CDTF">2026-03-19T11:31:50Z</dcterms:modified>
</cp:coreProperties>
</file>