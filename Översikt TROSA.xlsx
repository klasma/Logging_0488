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51481-2024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45603</v>
      </c>
      <c r="E10" s="1" t="n">
        <v>46256</v>
      </c>
      <c r="F10" t="inlineStr">
        <is>
          <t>SÖDERMANLANDS LÄN</t>
        </is>
      </c>
      <c r="G10" t="inlineStr">
        <is>
          <t>TROSA</t>
        </is>
      </c>
      <c r="I10" t="n">
        <v>12.8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Talltita
Spillkråka</t>
        </is>
      </c>
      <c r="W10">
        <f>HYPERLINK("https://klasma.github.io/Logging_0488/artfynd/A 51481-2024 artfynd.xlsx", "A 51481-2024")</f>
        <v/>
      </c>
      <c r="X10">
        <f>HYPERLINK("https://klasma.github.io/Logging_0488/kartor/A 51481-2024 karta.png", "A 51481-2024")</f>
        <v/>
      </c>
      <c r="Y10">
        <f>HYPERLINK("https://klasma.github.io/Logging_0488/kartor_geotiff/A 51481-2024 georefererad karta.tif", "A 51481-2024")</f>
        <v/>
      </c>
      <c r="AA10">
        <f>HYPERLINK("https://klasma.github.io/Logging_0488/klagomål/A 51481-2024 FSC-klagomål.docx", "A 51481-2024")</f>
        <v/>
      </c>
      <c r="AB10">
        <f>HYPERLINK("https://klasma.github.io/Logging_0488/klagomålsmail/A 51481-2024 FSC-klagomål mail.docx", "A 51481-2024")</f>
        <v/>
      </c>
      <c r="AC10">
        <f>HYPERLINK("https://klasma.github.io/Logging_0488/tillsyn/A 51481-2024 tillsynsbegäran.docx", "A 51481-2024")</f>
        <v/>
      </c>
      <c r="AD10">
        <f>HYPERLINK("https://klasma.github.io/Logging_0488/tillsynsmail/A 51481-2024 tillsynsbegäran mail.docx", "A 51481-2024")</f>
        <v/>
      </c>
      <c r="AE10">
        <f>HYPERLINK("https://klasma.github.io/Logging_0488/fåglar/A 51481-2024 prioriterade fågelarter.docx", "A 51481-2024")</f>
        <v/>
      </c>
    </row>
    <row r="11" ht="15" customHeight="1">
      <c r="A11" t="inlineStr">
        <is>
          <t>A 11736-2024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46256</v>
      </c>
      <c r="F11" t="inlineStr">
        <is>
          <t>SÖDERMANLANDS LÄN</t>
        </is>
      </c>
      <c r="G11" t="inlineStr">
        <is>
          <t>TROSA</t>
        </is>
      </c>
      <c r="I11" t="n">
        <v>8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Enkelbeckasin
Grön sköldmossa</t>
        </is>
      </c>
      <c r="W11">
        <f>HYPERLINK("https://klasma.github.io/Logging_0488/artfynd/A 11736-2024 artfynd.xlsx", "A 11736-2024")</f>
        <v/>
      </c>
      <c r="X11">
        <f>HYPERLINK("https://klasma.github.io/Logging_0488/kartor/A 11736-2024 karta.png", "A 11736-2024")</f>
        <v/>
      </c>
      <c r="Y11">
        <f>HYPERLINK("https://klasma.github.io/Logging_0488/kartor_geotiff/A 11736-2024 georefererad karta.tif", "A 11736-2024")</f>
        <v/>
      </c>
      <c r="AA11">
        <f>HYPERLINK("https://klasma.github.io/Logging_0488/klagomål/A 11736-2024 FSC-klagomål.docx", "A 11736-2024")</f>
        <v/>
      </c>
      <c r="AB11">
        <f>HYPERLINK("https://klasma.github.io/Logging_0488/klagomålsmail/A 11736-2024 FSC-klagomål mail.docx", "A 11736-2024")</f>
        <v/>
      </c>
      <c r="AC11">
        <f>HYPERLINK("https://klasma.github.io/Logging_0488/tillsyn/A 11736-2024 tillsynsbegäran.docx", "A 11736-2024")</f>
        <v/>
      </c>
      <c r="AD11">
        <f>HYPERLINK("https://klasma.github.io/Logging_0488/tillsynsmail/A 11736-2024 tillsynsbegäran mail.docx", "A 11736-2024")</f>
        <v/>
      </c>
      <c r="AE11">
        <f>HYPERLINK("https://klasma.github.io/Logging_0488/fåglar/A 11736-2024 prioriterade fågelarter.docx", "A 11736-2024")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46256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46256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46256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46256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46256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46256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46256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46256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46256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46256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46256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46256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46256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45933</v>
      </c>
      <c r="E32" s="1" t="n">
        <v>46256</v>
      </c>
      <c r="F32" t="inlineStr">
        <is>
          <t>SÖDERMANLANDS LÄN</t>
        </is>
      </c>
      <c r="G32" t="inlineStr">
        <is>
          <t>TROSA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36709-2024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46256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36711-2024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46256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46256</v>
      </c>
      <c r="F35" t="inlineStr">
        <is>
          <t>SÖDERMANLANDS LÄN</t>
        </is>
      </c>
      <c r="G35" t="inlineStr">
        <is>
          <t>TROSA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46256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46256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11740-2024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46256</v>
      </c>
      <c r="F38" t="inlineStr">
        <is>
          <t>SÖDERMANLANDS LÄN</t>
        </is>
      </c>
      <c r="G38" t="inlineStr">
        <is>
          <t>TROSA</t>
        </is>
      </c>
      <c r="H38" t="inlineStr">
        <is>
          <t>Kommuner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29930-2022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44756</v>
      </c>
      <c r="E39" s="1" t="n">
        <v>46256</v>
      </c>
      <c r="F39" t="inlineStr">
        <is>
          <t>SÖDERMANLANDS LÄN</t>
        </is>
      </c>
      <c r="G39" t="inlineStr">
        <is>
          <t>TROSA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46256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46256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46256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46256</v>
      </c>
      <c r="F43" t="inlineStr">
        <is>
          <t>SÖDERMANLANDS LÄN</t>
        </is>
      </c>
      <c r="G43" t="inlineStr">
        <is>
          <t>TROSA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46256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46256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46256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46256</v>
      </c>
      <c r="F47" t="inlineStr">
        <is>
          <t>SÖDERMANLANDS LÄN</t>
        </is>
      </c>
      <c r="G47" t="inlineStr">
        <is>
          <t>TROSA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46256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46256</v>
      </c>
      <c r="F49" t="inlineStr">
        <is>
          <t>SÖDERMANLANDS LÄN</t>
        </is>
      </c>
      <c r="G49" t="inlineStr">
        <is>
          <t>TROSA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44680</v>
      </c>
      <c r="E50" s="1" t="n">
        <v>46256</v>
      </c>
      <c r="F50" t="inlineStr">
        <is>
          <t>SÖDERMANLANDS LÄN</t>
        </is>
      </c>
      <c r="G50" t="inlineStr">
        <is>
          <t>TROSA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46256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46256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46256</v>
      </c>
      <c r="F53" t="inlineStr">
        <is>
          <t>SÖDERMANLANDS LÄN</t>
        </is>
      </c>
      <c r="G53" t="inlineStr">
        <is>
          <t>TROSA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46256</v>
      </c>
      <c r="F54" t="inlineStr">
        <is>
          <t>SÖDERMANLANDS LÄN</t>
        </is>
      </c>
      <c r="G54" t="inlineStr">
        <is>
          <t>TROSA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46256</v>
      </c>
      <c r="F55" t="inlineStr">
        <is>
          <t>SÖDERMANLANDS LÄN</t>
        </is>
      </c>
      <c r="G55" t="inlineStr">
        <is>
          <t>TROSA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46256</v>
      </c>
      <c r="F56" t="inlineStr">
        <is>
          <t>SÖDERMANLANDS LÄN</t>
        </is>
      </c>
      <c r="G56" t="inlineStr">
        <is>
          <t>TROSA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46256</v>
      </c>
      <c r="F57" t="inlineStr">
        <is>
          <t>SÖDERMANLANDS LÄN</t>
        </is>
      </c>
      <c r="G57" t="inlineStr">
        <is>
          <t>TROSA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10998-2024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46256</v>
      </c>
      <c r="F58" t="inlineStr">
        <is>
          <t>SÖDERMANLANDS LÄN</t>
        </is>
      </c>
      <c r="G58" t="inlineStr">
        <is>
          <t>TROSA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46256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46256</v>
      </c>
      <c r="F60" t="inlineStr">
        <is>
          <t>SÖDERMANLANDS LÄN</t>
        </is>
      </c>
      <c r="G60" t="inlineStr">
        <is>
          <t>TROSA</t>
        </is>
      </c>
      <c r="H60" t="inlineStr">
        <is>
          <t>Kommuner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46256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10393-2026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46077</v>
      </c>
      <c r="E62" s="1" t="n">
        <v>46256</v>
      </c>
      <c r="F62" t="inlineStr">
        <is>
          <t>SÖDERMANLANDS LÄN</t>
        </is>
      </c>
      <c r="G62" t="inlineStr">
        <is>
          <t>TROSA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46256</v>
      </c>
      <c r="F63" t="inlineStr">
        <is>
          <t>SÖDERMANLANDS LÄN</t>
        </is>
      </c>
      <c r="G63" t="inlineStr">
        <is>
          <t>TROSA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46079</v>
      </c>
      <c r="E64" s="1" t="n">
        <v>46256</v>
      </c>
      <c r="F64" t="inlineStr">
        <is>
          <t>SÖDERMANLANDS LÄN</t>
        </is>
      </c>
      <c r="G64" t="inlineStr">
        <is>
          <t>TROSA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11039-2026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46256</v>
      </c>
      <c r="F65" t="inlineStr">
        <is>
          <t>SÖDERMANLANDS LÄN</t>
        </is>
      </c>
      <c r="G65" t="inlineStr">
        <is>
          <t>TROSA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11069-2026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46256</v>
      </c>
      <c r="F66" t="inlineStr">
        <is>
          <t>SÖDERMANLANDS LÄN</t>
        </is>
      </c>
      <c r="G66" t="inlineStr">
        <is>
          <t>TROSA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12574-2026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46256</v>
      </c>
      <c r="F67" t="inlineStr">
        <is>
          <t>SÖDERMANLANDS LÄN</t>
        </is>
      </c>
      <c r="G67" t="inlineStr">
        <is>
          <t>TROSA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45736</v>
      </c>
      <c r="E68" s="1" t="n">
        <v>46256</v>
      </c>
      <c r="F68" t="inlineStr">
        <is>
          <t>SÖDERMANLANDS LÄN</t>
        </is>
      </c>
      <c r="G68" t="inlineStr">
        <is>
          <t>TROSA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46256</v>
      </c>
      <c r="F69" t="inlineStr">
        <is>
          <t>SÖDERMANLANDS LÄN</t>
        </is>
      </c>
      <c r="G69" t="inlineStr">
        <is>
          <t>TROSA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46256</v>
      </c>
      <c r="F70" t="inlineStr">
        <is>
          <t>SÖDERMANLANDS LÄN</t>
        </is>
      </c>
      <c r="G70" t="inlineStr">
        <is>
          <t>TROSA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45835</v>
      </c>
      <c r="E71" s="1" t="n">
        <v>46256</v>
      </c>
      <c r="F71" t="inlineStr">
        <is>
          <t>SÖDERMANLANDS LÄN</t>
        </is>
      </c>
      <c r="G71" t="inlineStr">
        <is>
          <t>TROSA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31166-2025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46256</v>
      </c>
      <c r="F72" t="inlineStr">
        <is>
          <t>SÖDERMANLANDS LÄN</t>
        </is>
      </c>
      <c r="G72" t="inlineStr">
        <is>
          <t>TROSA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46256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36712-2024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46256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46256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44937</v>
      </c>
      <c r="E76" s="1" t="n">
        <v>46256</v>
      </c>
      <c r="F76" t="inlineStr">
        <is>
          <t>SÖDERMANLANDS LÄN</t>
        </is>
      </c>
      <c r="G76" t="inlineStr">
        <is>
          <t>TROSA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48793-2024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45593</v>
      </c>
      <c r="E77" s="1" t="n">
        <v>46256</v>
      </c>
      <c r="F77" t="inlineStr">
        <is>
          <t>SÖDERMANLANDS LÄN</t>
        </is>
      </c>
      <c r="G77" t="inlineStr">
        <is>
          <t>TROSA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46079</v>
      </c>
      <c r="E78" s="1" t="n">
        <v>46256</v>
      </c>
      <c r="F78" t="inlineStr">
        <is>
          <t>SÖDERMANLANDS LÄN</t>
        </is>
      </c>
      <c r="G78" t="inlineStr">
        <is>
          <t>TROSA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46256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46256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46256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2026-08-22T01:47:37Z</dcterms:created>
  <dcterms:modified xmlns:dcterms="http://purl.org/dc/terms/" xmlns:xsi="http://www.w3.org/2001/XMLSchema-instance" xsi:type="dcterms:W3CDTF">2026-08-22T01:47:37Z</dcterms:modified>
</cp:coreProperties>
</file>