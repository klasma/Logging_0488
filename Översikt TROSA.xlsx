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48791-2024</t>
        </is>
      </c>
      <c r="B2" s="1" t="n">
        <v>45593</v>
      </c>
      <c r="C2" s="1" t="n">
        <v>46199</v>
      </c>
      <c r="D2" t="inlineStr">
        <is>
          <t>SÖDERMANLANDS LÄN</t>
        </is>
      </c>
      <c r="E2" t="inlineStr">
        <is>
          <t>TROSA</t>
        </is>
      </c>
      <c r="G2" t="n">
        <v>20.7</v>
      </c>
      <c r="H2" t="n">
        <v>5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Kricka
Svart skogssnigel
Korallrot
Svavelriska
Mattlummer
Havsörn
Fläcknycklar</t>
        </is>
      </c>
      <c r="S2">
        <f>HYPERLINK("https://klasma.github.io/Logging_0488/artfynd/A 48791-2024 artfynd.xlsx", "A 48791-2024")</f>
        <v/>
      </c>
      <c r="T2">
        <f>HYPERLINK("https://klasma.github.io/Logging_0488/kartor/A 48791-2024 karta.png", "A 48791-2024")</f>
        <v/>
      </c>
      <c r="V2">
        <f>HYPERLINK("https://klasma.github.io/Logging_0488/klagomål/A 48791-2024 FSC-klagomål.docx", "A 48791-2024")</f>
        <v/>
      </c>
      <c r="W2">
        <f>HYPERLINK("https://klasma.github.io/Logging_0488/klagomålsmail/A 48791-2024 FSC-klagomål mail.docx", "A 48791-2024")</f>
        <v/>
      </c>
      <c r="X2">
        <f>HYPERLINK("https://klasma.github.io/Logging_0488/tillsyn/A 48791-2024 tillsynsbegäran.docx", "A 48791-2024")</f>
        <v/>
      </c>
      <c r="Y2">
        <f>HYPERLINK("https://klasma.github.io/Logging_0488/tillsynsmail/A 48791-2024 tillsynsbegäran mail.docx", "A 48791-2024")</f>
        <v/>
      </c>
      <c r="Z2">
        <f>HYPERLINK("https://klasma.github.io/Logging_0488/fåglar/A 48791-2024 prioriterade fågelarter.docx", "A 48791-2024")</f>
        <v/>
      </c>
    </row>
    <row r="3" ht="15" customHeight="1">
      <c r="A3" t="inlineStr">
        <is>
          <t>A 53869-2024</t>
        </is>
      </c>
      <c r="B3" s="1" t="n">
        <v>45614</v>
      </c>
      <c r="C3" s="1" t="n">
        <v>46199</v>
      </c>
      <c r="D3" t="inlineStr">
        <is>
          <t>SÖDERMANLANDS LÄN</t>
        </is>
      </c>
      <c r="E3" t="inlineStr">
        <is>
          <t>TROSA</t>
        </is>
      </c>
      <c r="F3" t="inlineStr">
        <is>
          <t>Övriga statliga verk och myndigheter</t>
        </is>
      </c>
      <c r="G3" t="n">
        <v>20</v>
      </c>
      <c r="H3" t="n">
        <v>3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Gullpudra
Kricka
Älg
Stubbspretmossa
Spillkråka
Kungsfågel</t>
        </is>
      </c>
      <c r="S3">
        <f>HYPERLINK("https://klasma.github.io/Logging_0488/artfynd/A 53869-2024 artfynd.xlsx", "A 53869-2024")</f>
        <v/>
      </c>
      <c r="T3">
        <f>HYPERLINK("https://klasma.github.io/Logging_0488/kartor/A 53869-2024 karta.png", "A 53869-2024")</f>
        <v/>
      </c>
      <c r="V3">
        <f>HYPERLINK("https://klasma.github.io/Logging_0488/klagomål/A 53869-2024 FSC-klagomål.docx", "A 53869-2024")</f>
        <v/>
      </c>
      <c r="W3">
        <f>HYPERLINK("https://klasma.github.io/Logging_0488/klagomålsmail/A 53869-2024 FSC-klagomål mail.docx", "A 53869-2024")</f>
        <v/>
      </c>
      <c r="X3">
        <f>HYPERLINK("https://klasma.github.io/Logging_0488/tillsyn/A 53869-2024 tillsynsbegäran.docx", "A 53869-2024")</f>
        <v/>
      </c>
      <c r="Y3">
        <f>HYPERLINK("https://klasma.github.io/Logging_0488/tillsynsmail/A 53869-2024 tillsynsbegäran mail.docx", "A 53869-2024")</f>
        <v/>
      </c>
      <c r="Z3">
        <f>HYPERLINK("https://klasma.github.io/Logging_0488/fåglar/A 53869-2024 prioriterade fågelarter.docx", "A 53869-2024")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46199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2</v>
      </c>
      <c r="I4" t="n">
        <v>1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Ask
Tofsvipa
Gullpudra
Kricka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  <c r="Z4">
        <f>HYPERLINK("https://klasma.github.io/Logging_0488/fåglar/A 13760-2022 prioriterade fågelarter.docx", "A 13760-2022")</f>
        <v/>
      </c>
    </row>
    <row r="5" ht="15" customHeight="1">
      <c r="A5" t="inlineStr">
        <is>
          <t>A 63029-2021</t>
        </is>
      </c>
      <c r="B5" s="1" t="n">
        <v>44505</v>
      </c>
      <c r="C5" s="1" t="n">
        <v>46199</v>
      </c>
      <c r="D5" t="inlineStr">
        <is>
          <t>SÖDERMANLANDS LÄN</t>
        </is>
      </c>
      <c r="E5" t="inlineStr">
        <is>
          <t>TROSA</t>
        </is>
      </c>
      <c r="F5" t="inlineStr">
        <is>
          <t>Holmen skog AB</t>
        </is>
      </c>
      <c r="G5" t="n">
        <v>1.4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Bredbrämad bastardsvärmare
Gråtrut
Vitfläckig guldvinge</t>
        </is>
      </c>
      <c r="S5">
        <f>HYPERLINK("https://klasma.github.io/Logging_0488/artfynd/A 63029-2021 artfynd.xlsx", "A 63029-2021")</f>
        <v/>
      </c>
      <c r="T5">
        <f>HYPERLINK("https://klasma.github.io/Logging_0488/kartor/A 63029-2021 karta.png", "A 63029-2021")</f>
        <v/>
      </c>
      <c r="V5">
        <f>HYPERLINK("https://klasma.github.io/Logging_0488/klagomål/A 63029-2021 FSC-klagomål.docx", "A 63029-2021")</f>
        <v/>
      </c>
      <c r="W5">
        <f>HYPERLINK("https://klasma.github.io/Logging_0488/klagomålsmail/A 63029-2021 FSC-klagomål mail.docx", "A 63029-2021")</f>
        <v/>
      </c>
      <c r="X5">
        <f>HYPERLINK("https://klasma.github.io/Logging_0488/tillsyn/A 63029-2021 tillsynsbegäran.docx", "A 63029-2021")</f>
        <v/>
      </c>
      <c r="Y5">
        <f>HYPERLINK("https://klasma.github.io/Logging_0488/tillsynsmail/A 63029-2021 tillsynsbegäran mail.docx", "A 63029-2021")</f>
        <v/>
      </c>
    </row>
    <row r="6" ht="15" customHeight="1">
      <c r="A6" t="inlineStr">
        <is>
          <t>A 2699-2023</t>
        </is>
      </c>
      <c r="B6" s="1" t="n">
        <v>44944</v>
      </c>
      <c r="C6" s="1" t="n">
        <v>46199</v>
      </c>
      <c r="D6" t="inlineStr">
        <is>
          <t>SÖDERMANLANDS LÄN</t>
        </is>
      </c>
      <c r="E6" t="inlineStr">
        <is>
          <t>TROSA</t>
        </is>
      </c>
      <c r="G6" t="n">
        <v>4.7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Järnsparv
Svart trolldruva
Trana</t>
        </is>
      </c>
      <c r="S6">
        <f>HYPERLINK("https://klasma.github.io/Logging_0488/artfynd/A 2699-2023 artfynd.xlsx", "A 2699-2023")</f>
        <v/>
      </c>
      <c r="T6">
        <f>HYPERLINK("https://klasma.github.io/Logging_0488/kartor/A 2699-2023 karta.png", "A 2699-2023")</f>
        <v/>
      </c>
      <c r="V6">
        <f>HYPERLINK("https://klasma.github.io/Logging_0488/klagomål/A 2699-2023 FSC-klagomål.docx", "A 2699-2023")</f>
        <v/>
      </c>
      <c r="W6">
        <f>HYPERLINK("https://klasma.github.io/Logging_0488/klagomålsmail/A 2699-2023 FSC-klagomål mail.docx", "A 2699-2023")</f>
        <v/>
      </c>
      <c r="X6">
        <f>HYPERLINK("https://klasma.github.io/Logging_0488/tillsyn/A 2699-2023 tillsynsbegäran.docx", "A 2699-2023")</f>
        <v/>
      </c>
      <c r="Y6">
        <f>HYPERLINK("https://klasma.github.io/Logging_0488/tillsynsmail/A 2699-2023 tillsynsbegäran mail.docx", "A 2699-2023")</f>
        <v/>
      </c>
      <c r="Z6">
        <f>HYPERLINK("https://klasma.github.io/Logging_0488/fåglar/A 2699-2023 prioriterade fågelarter.docx", "A 2699-2023")</f>
        <v/>
      </c>
    </row>
    <row r="7" ht="15" customHeight="1">
      <c r="A7" t="inlineStr">
        <is>
          <t>A 11736-2024</t>
        </is>
      </c>
      <c r="B7" s="1" t="n">
        <v>45373</v>
      </c>
      <c r="C7" s="1" t="n">
        <v>46199</v>
      </c>
      <c r="D7" t="inlineStr">
        <is>
          <t>SÖDERMANLANDS LÄN</t>
        </is>
      </c>
      <c r="E7" t="inlineStr">
        <is>
          <t>TROSA</t>
        </is>
      </c>
      <c r="G7" t="n">
        <v>8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Enkelbeckasin
Grön sköldmossa</t>
        </is>
      </c>
      <c r="S7">
        <f>HYPERLINK("https://klasma.github.io/Logging_0488/artfynd/A 11736-2024 artfynd.xlsx", "A 11736-2024")</f>
        <v/>
      </c>
      <c r="T7">
        <f>HYPERLINK("https://klasma.github.io/Logging_0488/kartor/A 11736-2024 karta.png", "A 11736-2024")</f>
        <v/>
      </c>
      <c r="V7">
        <f>HYPERLINK("https://klasma.github.io/Logging_0488/klagomål/A 11736-2024 FSC-klagomål.docx", "A 11736-2024")</f>
        <v/>
      </c>
      <c r="W7">
        <f>HYPERLINK("https://klasma.github.io/Logging_0488/klagomålsmail/A 11736-2024 FSC-klagomål mail.docx", "A 11736-2024")</f>
        <v/>
      </c>
      <c r="X7">
        <f>HYPERLINK("https://klasma.github.io/Logging_0488/tillsyn/A 11736-2024 tillsynsbegäran.docx", "A 11736-2024")</f>
        <v/>
      </c>
      <c r="Y7">
        <f>HYPERLINK("https://klasma.github.io/Logging_0488/tillsynsmail/A 11736-2024 tillsynsbegäran mail.docx", "A 11736-2024")</f>
        <v/>
      </c>
      <c r="Z7">
        <f>HYPERLINK("https://klasma.github.io/Logging_0488/fåglar/A 11736-2024 prioriterade fågelarter.docx", "A 11736-2024")</f>
        <v/>
      </c>
    </row>
    <row r="8" ht="15" customHeight="1">
      <c r="A8" t="inlineStr">
        <is>
          <t>A 51481-2024</t>
        </is>
      </c>
      <c r="B8" s="1" t="n">
        <v>45603</v>
      </c>
      <c r="C8" s="1" t="n">
        <v>46199</v>
      </c>
      <c r="D8" t="inlineStr">
        <is>
          <t>SÖDERMANLANDS LÄN</t>
        </is>
      </c>
      <c r="E8" t="inlineStr">
        <is>
          <t>TROSA</t>
        </is>
      </c>
      <c r="G8" t="n">
        <v>12.8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Spillkråka</t>
        </is>
      </c>
      <c r="S8">
        <f>HYPERLINK("https://klasma.github.io/Logging_0488/artfynd/A 51481-2024 artfynd.xlsx", "A 51481-2024")</f>
        <v/>
      </c>
      <c r="T8">
        <f>HYPERLINK("https://klasma.github.io/Logging_0488/kartor/A 51481-2024 karta.png", "A 51481-2024")</f>
        <v/>
      </c>
      <c r="V8">
        <f>HYPERLINK("https://klasma.github.io/Logging_0488/klagomål/A 51481-2024 FSC-klagomål.docx", "A 51481-2024")</f>
        <v/>
      </c>
      <c r="W8">
        <f>HYPERLINK("https://klasma.github.io/Logging_0488/klagomålsmail/A 51481-2024 FSC-klagomål mail.docx", "A 51481-2024")</f>
        <v/>
      </c>
      <c r="X8">
        <f>HYPERLINK("https://klasma.github.io/Logging_0488/tillsyn/A 51481-2024 tillsynsbegäran.docx", "A 51481-2024")</f>
        <v/>
      </c>
      <c r="Y8">
        <f>HYPERLINK("https://klasma.github.io/Logging_0488/tillsynsmail/A 51481-2024 tillsynsbegäran mail.docx", "A 51481-2024")</f>
        <v/>
      </c>
      <c r="Z8">
        <f>HYPERLINK("https://klasma.github.io/Logging_0488/fåglar/A 51481-2024 prioriterade fågelarter.docx", "A 51481-2024")</f>
        <v/>
      </c>
    </row>
    <row r="9" ht="15" customHeight="1">
      <c r="A9" t="inlineStr">
        <is>
          <t>A 69966-2021</t>
        </is>
      </c>
      <c r="B9" s="1" t="n">
        <v>44533</v>
      </c>
      <c r="C9" s="1" t="n">
        <v>46199</v>
      </c>
      <c r="D9" t="inlineStr">
        <is>
          <t>SÖDERMANLANDS LÄN</t>
        </is>
      </c>
      <c r="E9" t="inlineStr">
        <is>
          <t>TROSA</t>
        </is>
      </c>
      <c r="G9" t="n">
        <v>1.9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Igelkott</t>
        </is>
      </c>
      <c r="S9">
        <f>HYPERLINK("https://klasma.github.io/Logging_0488/artfynd/A 69966-2021 artfynd.xlsx", "A 69966-2021")</f>
        <v/>
      </c>
      <c r="T9">
        <f>HYPERLINK("https://klasma.github.io/Logging_0488/kartor/A 69966-2021 karta.png", "A 69966-2021")</f>
        <v/>
      </c>
      <c r="V9">
        <f>HYPERLINK("https://klasma.github.io/Logging_0488/klagomål/A 69966-2021 FSC-klagomål.docx", "A 69966-2021")</f>
        <v/>
      </c>
      <c r="W9">
        <f>HYPERLINK("https://klasma.github.io/Logging_0488/klagomålsmail/A 69966-2021 FSC-klagomål mail.docx", "A 69966-2021")</f>
        <v/>
      </c>
      <c r="X9">
        <f>HYPERLINK("https://klasma.github.io/Logging_0488/tillsyn/A 69966-2021 tillsynsbegäran.docx", "A 69966-2021")</f>
        <v/>
      </c>
      <c r="Y9">
        <f>HYPERLINK("https://klasma.github.io/Logging_0488/tillsynsmail/A 69966-2021 tillsynsbegäran mail.docx", "A 69966-2021")</f>
        <v/>
      </c>
    </row>
    <row r="10" ht="15" customHeight="1">
      <c r="A10" t="inlineStr">
        <is>
          <t>A 11066-2024</t>
        </is>
      </c>
      <c r="B10" s="1" t="n">
        <v>45370</v>
      </c>
      <c r="C10" s="1" t="n">
        <v>46199</v>
      </c>
      <c r="D10" t="inlineStr">
        <is>
          <t>SÖDERMANLANDS LÄN</t>
        </is>
      </c>
      <c r="E10" t="inlineStr">
        <is>
          <t>TROSA</t>
        </is>
      </c>
      <c r="G10" t="n">
        <v>2.3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Nötkråka</t>
        </is>
      </c>
      <c r="S10">
        <f>HYPERLINK("https://klasma.github.io/Logging_0488/artfynd/A 11066-2024 artfynd.xlsx", "A 11066-2024")</f>
        <v/>
      </c>
      <c r="T10">
        <f>HYPERLINK("https://klasma.github.io/Logging_0488/kartor/A 11066-2024 karta.png", "A 11066-2024")</f>
        <v/>
      </c>
      <c r="V10">
        <f>HYPERLINK("https://klasma.github.io/Logging_0488/klagomål/A 11066-2024 FSC-klagomål.docx", "A 11066-2024")</f>
        <v/>
      </c>
      <c r="W10">
        <f>HYPERLINK("https://klasma.github.io/Logging_0488/klagomålsmail/A 11066-2024 FSC-klagomål mail.docx", "A 11066-2024")</f>
        <v/>
      </c>
      <c r="X10">
        <f>HYPERLINK("https://klasma.github.io/Logging_0488/tillsyn/A 11066-2024 tillsynsbegäran.docx", "A 11066-2024")</f>
        <v/>
      </c>
      <c r="Y10">
        <f>HYPERLINK("https://klasma.github.io/Logging_0488/tillsynsmail/A 11066-2024 tillsynsbegäran mail.docx", "A 11066-2024")</f>
        <v/>
      </c>
      <c r="Z10">
        <f>HYPERLINK("https://klasma.github.io/Logging_0488/fåglar/A 11066-2024 prioriterade fågelarter.docx", "A 11066-2024")</f>
        <v/>
      </c>
    </row>
    <row r="11" ht="15" customHeight="1">
      <c r="A11" t="inlineStr">
        <is>
          <t>A 57251-2025</t>
        </is>
      </c>
      <c r="B11" s="1" t="n">
        <v>45979</v>
      </c>
      <c r="C11" s="1" t="n">
        <v>46199</v>
      </c>
      <c r="D11" t="inlineStr">
        <is>
          <t>SÖDERMANLANDS LÄN</t>
        </is>
      </c>
      <c r="E11" t="inlineStr">
        <is>
          <t>TROSA</t>
        </is>
      </c>
      <c r="F11" t="inlineStr">
        <is>
          <t>Övriga Aktiebolag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Flattoppad klubbsvamp</t>
        </is>
      </c>
      <c r="S11">
        <f>HYPERLINK("https://klasma.github.io/Logging_0488/artfynd/A 57251-2025 artfynd.xlsx", "A 57251-2025")</f>
        <v/>
      </c>
      <c r="T11">
        <f>HYPERLINK("https://klasma.github.io/Logging_0488/kartor/A 57251-2025 karta.png", "A 57251-2025")</f>
        <v/>
      </c>
      <c r="V11">
        <f>HYPERLINK("https://klasma.github.io/Logging_0488/klagomål/A 57251-2025 FSC-klagomål.docx", "A 57251-2025")</f>
        <v/>
      </c>
      <c r="W11">
        <f>HYPERLINK("https://klasma.github.io/Logging_0488/klagomålsmail/A 57251-2025 FSC-klagomål mail.docx", "A 57251-2025")</f>
        <v/>
      </c>
      <c r="X11">
        <f>HYPERLINK("https://klasma.github.io/Logging_0488/tillsyn/A 57251-2025 tillsynsbegäran.docx", "A 57251-2025")</f>
        <v/>
      </c>
      <c r="Y11">
        <f>HYPERLINK("https://klasma.github.io/Logging_0488/tillsynsmail/A 57251-2025 tillsynsbegäran mail.docx", "A 57251-2025")</f>
        <v/>
      </c>
    </row>
    <row r="12" ht="15" customHeight="1">
      <c r="A12" t="inlineStr">
        <is>
          <t>A 11123-2023</t>
        </is>
      </c>
      <c r="B12" s="1" t="n">
        <v>44986</v>
      </c>
      <c r="C12" s="1" t="n">
        <v>46199</v>
      </c>
      <c r="D12" t="inlineStr">
        <is>
          <t>SÖDERMANLANDS LÄN</t>
        </is>
      </c>
      <c r="E12" t="inlineStr">
        <is>
          <t>TROSA</t>
        </is>
      </c>
      <c r="F12" t="inlineStr">
        <is>
          <t>Övriga statliga verk och myndigheter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HYPERLINK("https://klasma.github.io/Logging_0488/artfynd/A 11123-2023 artfynd.xlsx", "A 11123-2023")</f>
        <v/>
      </c>
      <c r="T12">
        <f>HYPERLINK("https://klasma.github.io/Logging_0488/kartor/A 11123-2023 karta.png", "A 11123-2023")</f>
        <v/>
      </c>
      <c r="V12">
        <f>HYPERLINK("https://klasma.github.io/Logging_0488/klagomål/A 11123-2023 FSC-klagomål.docx", "A 11123-2023")</f>
        <v/>
      </c>
      <c r="W12">
        <f>HYPERLINK("https://klasma.github.io/Logging_0488/klagomålsmail/A 11123-2023 FSC-klagomål mail.docx", "A 11123-2023")</f>
        <v/>
      </c>
      <c r="X12">
        <f>HYPERLINK("https://klasma.github.io/Logging_0488/tillsyn/A 11123-2023 tillsynsbegäran.docx", "A 11123-2023")</f>
        <v/>
      </c>
      <c r="Y12">
        <f>HYPERLINK("https://klasma.github.io/Logging_0488/tillsynsmail/A 11123-2023 tillsynsbegäran mail.docx", "A 11123-2023")</f>
        <v/>
      </c>
    </row>
    <row r="13" ht="15" customHeight="1">
      <c r="A13" t="inlineStr">
        <is>
          <t>A 10390-2026</t>
        </is>
      </c>
      <c r="B13" s="1" t="n">
        <v>46077</v>
      </c>
      <c r="C13" s="1" t="n">
        <v>46199</v>
      </c>
      <c r="D13" t="inlineStr">
        <is>
          <t>SÖDERMANLANDS LÄN</t>
        </is>
      </c>
      <c r="E13" t="inlineStr">
        <is>
          <t>TROSA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Igelkott</t>
        </is>
      </c>
      <c r="S13">
        <f>HYPERLINK("https://klasma.github.io/Logging_0488/artfynd/A 10390-2026 artfynd.xlsx", "A 10390-2026")</f>
        <v/>
      </c>
      <c r="T13">
        <f>HYPERLINK("https://klasma.github.io/Logging_0488/kartor/A 10390-2026 karta.png", "A 10390-2026")</f>
        <v/>
      </c>
      <c r="V13">
        <f>HYPERLINK("https://klasma.github.io/Logging_0488/klagomål/A 10390-2026 FSC-klagomål.docx", "A 10390-2026")</f>
        <v/>
      </c>
      <c r="W13">
        <f>HYPERLINK("https://klasma.github.io/Logging_0488/klagomålsmail/A 10390-2026 FSC-klagomål mail.docx", "A 10390-2026")</f>
        <v/>
      </c>
      <c r="X13">
        <f>HYPERLINK("https://klasma.github.io/Logging_0488/tillsyn/A 10390-2026 tillsynsbegäran.docx", "A 10390-2026")</f>
        <v/>
      </c>
      <c r="Y13">
        <f>HYPERLINK("https://klasma.github.io/Logging_0488/tillsynsmail/A 10390-2026 tillsynsbegäran mail.docx", "A 10390-2026")</f>
        <v/>
      </c>
    </row>
    <row r="14" ht="15" customHeight="1">
      <c r="A14" t="inlineStr">
        <is>
          <t>A 57004-2023</t>
        </is>
      </c>
      <c r="B14" s="1" t="n">
        <v>45244</v>
      </c>
      <c r="C14" s="1" t="n">
        <v>46199</v>
      </c>
      <c r="D14" t="inlineStr">
        <is>
          <t>SÖDERMANLANDS LÄN</t>
        </is>
      </c>
      <c r="E14" t="inlineStr">
        <is>
          <t>TROSA</t>
        </is>
      </c>
      <c r="F14" t="inlineStr">
        <is>
          <t>Kommuner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HYPERLINK("https://klasma.github.io/Logging_0488/artfynd/A 57004-2023 artfynd.xlsx", "A 57004-2023")</f>
        <v/>
      </c>
      <c r="T14">
        <f>HYPERLINK("https://klasma.github.io/Logging_0488/kartor/A 57004-2023 karta.png", "A 57004-2023")</f>
        <v/>
      </c>
      <c r="V14">
        <f>HYPERLINK("https://klasma.github.io/Logging_0488/klagomål/A 57004-2023 FSC-klagomål.docx", "A 57004-2023")</f>
        <v/>
      </c>
      <c r="W14">
        <f>HYPERLINK("https://klasma.github.io/Logging_0488/klagomålsmail/A 57004-2023 FSC-klagomål mail.docx", "A 57004-2023")</f>
        <v/>
      </c>
      <c r="X14">
        <f>HYPERLINK("https://klasma.github.io/Logging_0488/tillsyn/A 57004-2023 tillsynsbegäran.docx", "A 57004-2023")</f>
        <v/>
      </c>
      <c r="Y14">
        <f>HYPERLINK("https://klasma.github.io/Logging_0488/tillsynsmail/A 57004-2023 tillsynsbegäran mail.docx", "A 57004-2023")</f>
        <v/>
      </c>
      <c r="Z14">
        <f>HYPERLINK("https://klasma.github.io/Logging_0488/fåglar/A 57004-2023 prioriterade fågelarter.docx", "A 57004-2023")</f>
        <v/>
      </c>
    </row>
    <row r="15" ht="15" customHeight="1">
      <c r="A15" t="inlineStr">
        <is>
          <t>A 56117-2022</t>
        </is>
      </c>
      <c r="B15" s="1" t="n">
        <v>44889</v>
      </c>
      <c r="C15" s="1" t="n">
        <v>46199</v>
      </c>
      <c r="D15" t="inlineStr">
        <is>
          <t>SÖDERMANLANDS LÄN</t>
        </is>
      </c>
      <c r="E15" t="inlineStr">
        <is>
          <t>TROSA</t>
        </is>
      </c>
      <c r="F15" t="inlineStr">
        <is>
          <t>Holmen skog AB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Älg</t>
        </is>
      </c>
      <c r="S15">
        <f>HYPERLINK("https://klasma.github.io/Logging_0488/artfynd/A 56117-2022 artfynd.xlsx", "A 56117-2022")</f>
        <v/>
      </c>
      <c r="T15">
        <f>HYPERLINK("https://klasma.github.io/Logging_0488/kartor/A 56117-2022 karta.png", "A 56117-2022")</f>
        <v/>
      </c>
      <c r="V15">
        <f>HYPERLINK("https://klasma.github.io/Logging_0488/klagomål/A 56117-2022 FSC-klagomål.docx", "A 56117-2022")</f>
        <v/>
      </c>
      <c r="W15">
        <f>HYPERLINK("https://klasma.github.io/Logging_0488/klagomålsmail/A 56117-2022 FSC-klagomål mail.docx", "A 56117-2022")</f>
        <v/>
      </c>
      <c r="X15">
        <f>HYPERLINK("https://klasma.github.io/Logging_0488/tillsyn/A 56117-2022 tillsynsbegäran.docx", "A 56117-2022")</f>
        <v/>
      </c>
      <c r="Y15">
        <f>HYPERLINK("https://klasma.github.io/Logging_0488/tillsynsmail/A 56117-2022 tillsynsbegäran mail.docx", "A 56117-2022")</f>
        <v/>
      </c>
    </row>
    <row r="16" ht="15" customHeight="1">
      <c r="A16" t="inlineStr">
        <is>
          <t>A 59266-2021</t>
        </is>
      </c>
      <c r="B16" s="1" t="n">
        <v>44490</v>
      </c>
      <c r="C16" s="1" t="n">
        <v>46199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23609-2022</t>
        </is>
      </c>
      <c r="B17" s="1" t="n">
        <v>44721</v>
      </c>
      <c r="C17" s="1" t="n">
        <v>46199</v>
      </c>
      <c r="D17" t="inlineStr">
        <is>
          <t>SÖDERMANLANDS LÄN</t>
        </is>
      </c>
      <c r="E17" t="inlineStr">
        <is>
          <t>TROSA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56315-2021</t>
        </is>
      </c>
      <c r="B18" s="1" t="n">
        <v>44480</v>
      </c>
      <c r="C18" s="1" t="n">
        <v>46199</v>
      </c>
      <c r="D18" t="inlineStr">
        <is>
          <t>SÖDERMANLANDS LÄN</t>
        </is>
      </c>
      <c r="E18" t="inlineStr">
        <is>
          <t>TROSA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29943-2022</t>
        </is>
      </c>
      <c r="B19" s="1" t="n">
        <v>44756</v>
      </c>
      <c r="C19" s="1" t="n">
        <v>46199</v>
      </c>
      <c r="D19" t="inlineStr">
        <is>
          <t>SÖDERMANLANDS LÄN</t>
        </is>
      </c>
      <c r="E19" t="inlineStr">
        <is>
          <t>TROSA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25851-2022</t>
        </is>
      </c>
      <c r="B20" s="1" t="n">
        <v>44733</v>
      </c>
      <c r="C20" s="1" t="n">
        <v>46199</v>
      </c>
      <c r="D20" t="inlineStr">
        <is>
          <t>SÖDERMANLANDS LÄN</t>
        </is>
      </c>
      <c r="E20" t="inlineStr">
        <is>
          <t>TROSA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58922-2021</t>
        </is>
      </c>
      <c r="B21" s="1" t="n">
        <v>44489</v>
      </c>
      <c r="C21" s="1" t="n">
        <v>46199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46199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46199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46199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46199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57342-2025</t>
        </is>
      </c>
      <c r="B26" s="1" t="n">
        <v>45979</v>
      </c>
      <c r="C26" s="1" t="n">
        <v>46199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57338-2025</t>
        </is>
      </c>
      <c r="B27" s="1" t="n">
        <v>45979</v>
      </c>
      <c r="C27" s="1" t="n">
        <v>46199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57344-2025</t>
        </is>
      </c>
      <c r="B28" s="1" t="n">
        <v>45979</v>
      </c>
      <c r="C28" s="1" t="n">
        <v>46199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35054-2024</t>
        </is>
      </c>
      <c r="B29" s="1" t="n">
        <v>45527</v>
      </c>
      <c r="C29" s="1" t="n">
        <v>46199</v>
      </c>
      <c r="D29" t="inlineStr">
        <is>
          <t>SÖDERMANLANDS LÄN</t>
        </is>
      </c>
      <c r="E29" t="inlineStr">
        <is>
          <t>TROSA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36709-2024</t>
        </is>
      </c>
      <c r="B30" s="1" t="n">
        <v>45537</v>
      </c>
      <c r="C30" s="1" t="n">
        <v>46199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36711-2024</t>
        </is>
      </c>
      <c r="B31" s="1" t="n">
        <v>45537</v>
      </c>
      <c r="C31" s="1" t="n">
        <v>46199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1589-2023</t>
        </is>
      </c>
      <c r="B32" s="1" t="n">
        <v>44937</v>
      </c>
      <c r="C32" s="1" t="n">
        <v>46199</v>
      </c>
      <c r="D32" t="inlineStr">
        <is>
          <t>SÖDERMANLANDS LÄN</t>
        </is>
      </c>
      <c r="E32" t="inlineStr">
        <is>
          <t>TROSA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6124-2022</t>
        </is>
      </c>
      <c r="B33" s="1" t="n">
        <v>44599</v>
      </c>
      <c r="C33" s="1" t="n">
        <v>46199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59222-2025</t>
        </is>
      </c>
      <c r="B34" s="1" t="n">
        <v>45988</v>
      </c>
      <c r="C34" s="1" t="n">
        <v>46199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62474-2022</t>
        </is>
      </c>
      <c r="B35" s="1" t="n">
        <v>44916</v>
      </c>
      <c r="C35" s="1" t="n">
        <v>46199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13810-2023</t>
        </is>
      </c>
      <c r="B36" s="1" t="n">
        <v>45007</v>
      </c>
      <c r="C36" s="1" t="n">
        <v>46199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48314-2025</t>
        </is>
      </c>
      <c r="B37" s="1" t="n">
        <v>45933</v>
      </c>
      <c r="C37" s="1" t="n">
        <v>46199</v>
      </c>
      <c r="D37" t="inlineStr">
        <is>
          <t>SÖDERMANLANDS LÄN</t>
        </is>
      </c>
      <c r="E37" t="inlineStr">
        <is>
          <t>TROSA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16029-2023</t>
        </is>
      </c>
      <c r="B38" s="1" t="n">
        <v>45027</v>
      </c>
      <c r="C38" s="1" t="n">
        <v>46199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7204-2024</t>
        </is>
      </c>
      <c r="B39" s="1" t="n">
        <v>45344</v>
      </c>
      <c r="C39" s="1" t="n">
        <v>46199</v>
      </c>
      <c r="D39" t="inlineStr">
        <is>
          <t>SÖDERMANLANDS LÄN</t>
        </is>
      </c>
      <c r="E39" t="inlineStr">
        <is>
          <t>TROSA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3346-2026</t>
        </is>
      </c>
      <c r="B40" s="1" t="n">
        <v>46041</v>
      </c>
      <c r="C40" s="1" t="n">
        <v>46199</v>
      </c>
      <c r="D40" t="inlineStr">
        <is>
          <t>SÖDERMANLANDS LÄN</t>
        </is>
      </c>
      <c r="E40" t="inlineStr">
        <is>
          <t>TROSA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3337-2026</t>
        </is>
      </c>
      <c r="B41" s="1" t="n">
        <v>46041</v>
      </c>
      <c r="C41" s="1" t="n">
        <v>46199</v>
      </c>
      <c r="D41" t="inlineStr">
        <is>
          <t>SÖDERMANLANDS LÄN</t>
        </is>
      </c>
      <c r="E41" t="inlineStr">
        <is>
          <t>TROSA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55257-2025</t>
        </is>
      </c>
      <c r="B42" s="1" t="n">
        <v>45968</v>
      </c>
      <c r="C42" s="1" t="n">
        <v>46199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55265-2025</t>
        </is>
      </c>
      <c r="B43" s="1" t="n">
        <v>45968</v>
      </c>
      <c r="C43" s="1" t="n">
        <v>46199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6102-2022</t>
        </is>
      </c>
      <c r="B44" s="1" t="n">
        <v>44599</v>
      </c>
      <c r="C44" s="1" t="n">
        <v>46199</v>
      </c>
      <c r="D44" t="inlineStr">
        <is>
          <t>SÖDERMANLANDS LÄN</t>
        </is>
      </c>
      <c r="E44" t="inlineStr">
        <is>
          <t>TROSA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10393-2026</t>
        </is>
      </c>
      <c r="B45" s="1" t="n">
        <v>46077</v>
      </c>
      <c r="C45" s="1" t="n">
        <v>46199</v>
      </c>
      <c r="D45" t="inlineStr">
        <is>
          <t>SÖDERMANLANDS LÄN</t>
        </is>
      </c>
      <c r="E45" t="inlineStr">
        <is>
          <t>TROSA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11069-2026</t>
        </is>
      </c>
      <c r="B46" s="1" t="n">
        <v>46079</v>
      </c>
      <c r="C46" s="1" t="n">
        <v>46199</v>
      </c>
      <c r="D46" t="inlineStr">
        <is>
          <t>SÖDERMANLANDS LÄN</t>
        </is>
      </c>
      <c r="E46" t="inlineStr">
        <is>
          <t>TROSA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11103-2026</t>
        </is>
      </c>
      <c r="B47" s="1" t="n">
        <v>46079</v>
      </c>
      <c r="C47" s="1" t="n">
        <v>46199</v>
      </c>
      <c r="D47" t="inlineStr">
        <is>
          <t>SÖDERMANLANDS LÄN</t>
        </is>
      </c>
      <c r="E47" t="inlineStr">
        <is>
          <t>TROSA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11119-2026</t>
        </is>
      </c>
      <c r="B48" s="1" t="n">
        <v>46079</v>
      </c>
      <c r="C48" s="1" t="n">
        <v>46199</v>
      </c>
      <c r="D48" t="inlineStr">
        <is>
          <t>SÖDERMANLANDS LÄN</t>
        </is>
      </c>
      <c r="E48" t="inlineStr">
        <is>
          <t>TROSA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11039-2026</t>
        </is>
      </c>
      <c r="B49" s="1" t="n">
        <v>46079</v>
      </c>
      <c r="C49" s="1" t="n">
        <v>46199</v>
      </c>
      <c r="D49" t="inlineStr">
        <is>
          <t>SÖDERMANLANDS LÄN</t>
        </is>
      </c>
      <c r="E49" t="inlineStr">
        <is>
          <t>TROSA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11083-2026</t>
        </is>
      </c>
      <c r="B50" s="1" t="n">
        <v>46079</v>
      </c>
      <c r="C50" s="1" t="n">
        <v>46199</v>
      </c>
      <c r="D50" t="inlineStr">
        <is>
          <t>SÖDERMANLANDS LÄN</t>
        </is>
      </c>
      <c r="E50" t="inlineStr">
        <is>
          <t>TROSA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12574-2026</t>
        </is>
      </c>
      <c r="B51" s="1" t="n">
        <v>46090</v>
      </c>
      <c r="C51" s="1" t="n">
        <v>46199</v>
      </c>
      <c r="D51" t="inlineStr">
        <is>
          <t>SÖDERMANLANDS LÄN</t>
        </is>
      </c>
      <c r="E51" t="inlineStr">
        <is>
          <t>TROSA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13829-2023</t>
        </is>
      </c>
      <c r="B52" s="1" t="n">
        <v>45007</v>
      </c>
      <c r="C52" s="1" t="n">
        <v>46199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62473-2022</t>
        </is>
      </c>
      <c r="B53" s="1" t="n">
        <v>44916</v>
      </c>
      <c r="C53" s="1" t="n">
        <v>46199</v>
      </c>
      <c r="D53" t="inlineStr">
        <is>
          <t>SÖDERMANLANDS LÄN</t>
        </is>
      </c>
      <c r="E53" t="inlineStr">
        <is>
          <t>TROSA</t>
        </is>
      </c>
      <c r="F53" t="inlineStr">
        <is>
          <t>Övriga Aktiebolag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12447-2024</t>
        </is>
      </c>
      <c r="B54" s="1" t="n">
        <v>45379</v>
      </c>
      <c r="C54" s="1" t="n">
        <v>46199</v>
      </c>
      <c r="D54" t="inlineStr">
        <is>
          <t>SÖDERMANLANDS LÄN</t>
        </is>
      </c>
      <c r="E54" t="inlineStr">
        <is>
          <t>TROSA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11743-2024</t>
        </is>
      </c>
      <c r="B55" s="1" t="n">
        <v>45373</v>
      </c>
      <c r="C55" s="1" t="n">
        <v>46199</v>
      </c>
      <c r="D55" t="inlineStr">
        <is>
          <t>SÖDERMANLANDS LÄN</t>
        </is>
      </c>
      <c r="E55" t="inlineStr">
        <is>
          <t>TROSA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32213-2025</t>
        </is>
      </c>
      <c r="B56" s="1" t="n">
        <v>45835</v>
      </c>
      <c r="C56" s="1" t="n">
        <v>46199</v>
      </c>
      <c r="D56" t="inlineStr">
        <is>
          <t>SÖDERMANLANDS LÄN</t>
        </is>
      </c>
      <c r="E56" t="inlineStr">
        <is>
          <t>TROSA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31166-2025</t>
        </is>
      </c>
      <c r="B57" s="1" t="n">
        <v>45832</v>
      </c>
      <c r="C57" s="1" t="n">
        <v>46199</v>
      </c>
      <c r="D57" t="inlineStr">
        <is>
          <t>SÖDERMANLANDS LÄN</t>
        </is>
      </c>
      <c r="E57" t="inlineStr">
        <is>
          <t>TROSA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39827-2024</t>
        </is>
      </c>
      <c r="B58" s="1" t="n">
        <v>45553</v>
      </c>
      <c r="C58" s="1" t="n">
        <v>46199</v>
      </c>
      <c r="D58" t="inlineStr">
        <is>
          <t>SÖDERMANLANDS LÄN</t>
        </is>
      </c>
      <c r="E58" t="inlineStr">
        <is>
          <t>TROSA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13675-2025</t>
        </is>
      </c>
      <c r="B59" s="1" t="n">
        <v>45736</v>
      </c>
      <c r="C59" s="1" t="n">
        <v>46199</v>
      </c>
      <c r="D59" t="inlineStr">
        <is>
          <t>SÖDERMANLANDS LÄN</t>
        </is>
      </c>
      <c r="E59" t="inlineStr">
        <is>
          <t>TROSA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20191-2026</t>
        </is>
      </c>
      <c r="B60" s="1" t="n">
        <v>46139</v>
      </c>
      <c r="C60" s="1" t="n">
        <v>46199</v>
      </c>
      <c r="D60" t="inlineStr">
        <is>
          <t>SÖDERMANLANDS LÄN</t>
        </is>
      </c>
      <c r="E60" t="inlineStr">
        <is>
          <t>TROSA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44720-2022</t>
        </is>
      </c>
      <c r="B61" s="1" t="n">
        <v>44840</v>
      </c>
      <c r="C61" s="1" t="n">
        <v>46199</v>
      </c>
      <c r="D61" t="inlineStr">
        <is>
          <t>SÖDERMANLANDS LÄN</t>
        </is>
      </c>
      <c r="E61" t="inlineStr">
        <is>
          <t>TROSA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64286-2023</t>
        </is>
      </c>
      <c r="B62" s="1" t="n">
        <v>45280</v>
      </c>
      <c r="C62" s="1" t="n">
        <v>46199</v>
      </c>
      <c r="D62" t="inlineStr">
        <is>
          <t>SÖDERMANLANDS LÄN</t>
        </is>
      </c>
      <c r="E62" t="inlineStr">
        <is>
          <t>TROSA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44579-2022</t>
        </is>
      </c>
      <c r="B63" s="1" t="n">
        <v>44840</v>
      </c>
      <c r="C63" s="1" t="n">
        <v>46199</v>
      </c>
      <c r="D63" t="inlineStr">
        <is>
          <t>SÖDERMANLANDS LÄN</t>
        </is>
      </c>
      <c r="E63" t="inlineStr">
        <is>
          <t>TROSA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17600-2022</t>
        </is>
      </c>
      <c r="B64" s="1" t="n">
        <v>44680</v>
      </c>
      <c r="C64" s="1" t="n">
        <v>46199</v>
      </c>
      <c r="D64" t="inlineStr">
        <is>
          <t>SÖDERMANLANDS LÄN</t>
        </is>
      </c>
      <c r="E64" t="inlineStr">
        <is>
          <t>TROSA</t>
        </is>
      </c>
      <c r="G64" t="n">
        <v>7.7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15169-2023</t>
        </is>
      </c>
      <c r="B65" s="1" t="n">
        <v>45016</v>
      </c>
      <c r="C65" s="1" t="n">
        <v>46199</v>
      </c>
      <c r="D65" t="inlineStr">
        <is>
          <t>SÖDERMANLANDS LÄN</t>
        </is>
      </c>
      <c r="E65" t="inlineStr">
        <is>
          <t>TROSA</t>
        </is>
      </c>
      <c r="F65" t="inlineStr">
        <is>
          <t>Holmen skog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36712-2024</t>
        </is>
      </c>
      <c r="B66" s="1" t="n">
        <v>45537</v>
      </c>
      <c r="C66" s="1" t="n">
        <v>46199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13839-2023</t>
        </is>
      </c>
      <c r="B67" s="1" t="n">
        <v>45007</v>
      </c>
      <c r="C67" s="1" t="n">
        <v>46199</v>
      </c>
      <c r="D67" t="inlineStr">
        <is>
          <t>SÖDERMANLANDS LÄN</t>
        </is>
      </c>
      <c r="E67" t="inlineStr">
        <is>
          <t>TROSA</t>
        </is>
      </c>
      <c r="F67" t="inlineStr">
        <is>
          <t>Holmen skog AB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11740-2024</t>
        </is>
      </c>
      <c r="B68" s="1" t="n">
        <v>45373</v>
      </c>
      <c r="C68" s="1" t="n">
        <v>46199</v>
      </c>
      <c r="D68" t="inlineStr">
        <is>
          <t>SÖDERMANLANDS LÄN</t>
        </is>
      </c>
      <c r="E68" t="inlineStr">
        <is>
          <t>TROSA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11742-2024</t>
        </is>
      </c>
      <c r="B69" s="1" t="n">
        <v>45373</v>
      </c>
      <c r="C69" s="1" t="n">
        <v>46199</v>
      </c>
      <c r="D69" t="inlineStr">
        <is>
          <t>SÖDERMANLANDS LÄN</t>
        </is>
      </c>
      <c r="E69" t="inlineStr">
        <is>
          <t>TROSA</t>
        </is>
      </c>
      <c r="F69" t="inlineStr">
        <is>
          <t>Kommuner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1431-2023</t>
        </is>
      </c>
      <c r="B70" s="1" t="n">
        <v>44937</v>
      </c>
      <c r="C70" s="1" t="n">
        <v>46199</v>
      </c>
      <c r="D70" t="inlineStr">
        <is>
          <t>SÖDERMANLANDS LÄN</t>
        </is>
      </c>
      <c r="E70" t="inlineStr">
        <is>
          <t>TROSA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15293-2023</t>
        </is>
      </c>
      <c r="B71" s="1" t="n">
        <v>45019</v>
      </c>
      <c r="C71" s="1" t="n">
        <v>46199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36710-2024</t>
        </is>
      </c>
      <c r="B72" s="1" t="n">
        <v>45537</v>
      </c>
      <c r="C72" s="1" t="n">
        <v>46199</v>
      </c>
      <c r="D72" t="inlineStr">
        <is>
          <t>SÖDERMANLANDS LÄN</t>
        </is>
      </c>
      <c r="E72" t="inlineStr">
        <is>
          <t>TROSA</t>
        </is>
      </c>
      <c r="F72" t="inlineStr">
        <is>
          <t>Övriga Aktiebolag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10998-2024</t>
        </is>
      </c>
      <c r="B73" s="1" t="n">
        <v>45370</v>
      </c>
      <c r="C73" s="1" t="n">
        <v>46199</v>
      </c>
      <c r="D73" t="inlineStr">
        <is>
          <t>SÖDERMANLANDS LÄN</t>
        </is>
      </c>
      <c r="E73" t="inlineStr">
        <is>
          <t>TROSA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29930-2022</t>
        </is>
      </c>
      <c r="B74" s="1" t="n">
        <v>44756</v>
      </c>
      <c r="C74" s="1" t="n">
        <v>46199</v>
      </c>
      <c r="D74" t="inlineStr">
        <is>
          <t>SÖDERMANLANDS LÄN</t>
        </is>
      </c>
      <c r="E74" t="inlineStr">
        <is>
          <t>TROSA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35058-2024</t>
        </is>
      </c>
      <c r="B75" s="1" t="n">
        <v>45527</v>
      </c>
      <c r="C75" s="1" t="n">
        <v>46199</v>
      </c>
      <c r="D75" t="inlineStr">
        <is>
          <t>SÖDERMANLANDS LÄN</t>
        </is>
      </c>
      <c r="E75" t="inlineStr">
        <is>
          <t>TROSA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48793-2024</t>
        </is>
      </c>
      <c r="B76" s="1" t="n">
        <v>45593</v>
      </c>
      <c r="C76" s="1" t="n">
        <v>46199</v>
      </c>
      <c r="D76" t="inlineStr">
        <is>
          <t>SÖDERMANLANDS LÄN</t>
        </is>
      </c>
      <c r="E76" t="inlineStr">
        <is>
          <t>TROSA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2026-06-26T00:52:43Z</dcterms:created>
  <dcterms:modified xmlns:dcterms="http://purl.org/dc/terms/" xmlns:xsi="http://www.w3.org/2001/XMLSchema-instance" xsi:type="dcterms:W3CDTF">2026-06-26T00:52:43Z</dcterms:modified>
</cp:coreProperties>
</file>