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45892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45892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Granticka
Svart trolldruva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45892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45892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45892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45892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55760-2020</t>
        </is>
      </c>
      <c r="B8" s="1" t="n">
        <v>44132</v>
      </c>
      <c r="C8" s="1" t="n">
        <v>45892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9.6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HYPERLINK("https://klasma.github.io/Logging_0488/artfynd/A 55760-2020 artfynd.xlsx", "A 55760-2020")</f>
        <v/>
      </c>
      <c r="T8">
        <f>HYPERLINK("https://klasma.github.io/Logging_0488/kartor/A 55760-2020 karta.png", "A 55760-2020")</f>
        <v/>
      </c>
      <c r="V8">
        <f>HYPERLINK("https://klasma.github.io/Logging_0488/klagomål/A 55760-2020 FSC-klagomål.docx", "A 55760-2020")</f>
        <v/>
      </c>
      <c r="W8">
        <f>HYPERLINK("https://klasma.github.io/Logging_0488/klagomålsmail/A 55760-2020 FSC-klagomål mail.docx", "A 55760-2020")</f>
        <v/>
      </c>
      <c r="X8">
        <f>HYPERLINK("https://klasma.github.io/Logging_0488/tillsyn/A 55760-2020 tillsynsbegäran.docx", "A 55760-2020")</f>
        <v/>
      </c>
      <c r="Y8">
        <f>HYPERLINK("https://klasma.github.io/Logging_0488/tillsynsmail/A 55760-2020 tillsynsbegäran mail.docx", "A 55760-2020")</f>
        <v/>
      </c>
    </row>
    <row r="9" ht="15" customHeight="1">
      <c r="A9" t="inlineStr">
        <is>
          <t>A 63029-2021</t>
        </is>
      </c>
      <c r="B9" s="1" t="n">
        <v>44505</v>
      </c>
      <c r="C9" s="1" t="n">
        <v>45892</v>
      </c>
      <c r="D9" t="inlineStr">
        <is>
          <t>SÖDERMANLANDS LÄN</t>
        </is>
      </c>
      <c r="E9" t="inlineStr">
        <is>
          <t>TROSA</t>
        </is>
      </c>
      <c r="F9" t="inlineStr">
        <is>
          <t>Holmen skog AB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Bredbrämad bastardsvärmare</t>
        </is>
      </c>
      <c r="S9">
        <f>HYPERLINK("https://klasma.github.io/Logging_0488/artfynd/A 63029-2021 artfynd.xlsx", "A 63029-2021")</f>
        <v/>
      </c>
      <c r="T9">
        <f>HYPERLINK("https://klasma.github.io/Logging_0488/kartor/A 63029-2021 karta.png", "A 63029-2021")</f>
        <v/>
      </c>
      <c r="V9">
        <f>HYPERLINK("https://klasma.github.io/Logging_0488/klagomål/A 63029-2021 FSC-klagomål.docx", "A 63029-2021")</f>
        <v/>
      </c>
      <c r="W9">
        <f>HYPERLINK("https://klasma.github.io/Logging_0488/klagomålsmail/A 63029-2021 FSC-klagomål mail.docx", "A 63029-2021")</f>
        <v/>
      </c>
      <c r="X9">
        <f>HYPERLINK("https://klasma.github.io/Logging_0488/tillsyn/A 63029-2021 tillsynsbegäran.docx", "A 63029-2021")</f>
        <v/>
      </c>
      <c r="Y9">
        <f>HYPERLINK("https://klasma.github.io/Logging_0488/tillsynsmail/A 63029-2021 tillsynsbegäran mail.docx", "A 63029-2021")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45892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45892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16557-2021</t>
        </is>
      </c>
      <c r="B12" s="1" t="n">
        <v>44293</v>
      </c>
      <c r="C12" s="1" t="n">
        <v>45892</v>
      </c>
      <c r="D12" t="inlineStr">
        <is>
          <t>SÖDERMANLANDS LÄN</t>
        </is>
      </c>
      <c r="E12" t="inlineStr">
        <is>
          <t>TROSA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59266-2021</t>
        </is>
      </c>
      <c r="B13" s="1" t="n">
        <v>44490</v>
      </c>
      <c r="C13" s="1" t="n">
        <v>45892</v>
      </c>
      <c r="D13" t="inlineStr">
        <is>
          <t>SÖDERMANLANDS LÄN</t>
        </is>
      </c>
      <c r="E13" t="inlineStr">
        <is>
          <t>TROSA</t>
        </is>
      </c>
      <c r="F13" t="inlineStr">
        <is>
          <t>Holmen skog AB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45892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69966-2021</t>
        </is>
      </c>
      <c r="B15" s="1" t="n">
        <v>44533</v>
      </c>
      <c r="C15" s="1" t="n">
        <v>45892</v>
      </c>
      <c r="D15" t="inlineStr">
        <is>
          <t>SÖDERMANLANDS LÄN</t>
        </is>
      </c>
      <c r="E15" t="inlineStr">
        <is>
          <t>TROSA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56179-2020</t>
        </is>
      </c>
      <c r="B16" s="1" t="n">
        <v>44133</v>
      </c>
      <c r="C16" s="1" t="n">
        <v>45892</v>
      </c>
      <c r="D16" t="inlineStr">
        <is>
          <t>SÖDERMANLANDS LÄN</t>
        </is>
      </c>
      <c r="E16" t="inlineStr">
        <is>
          <t>TROSA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45892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45892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9027-2021</t>
        </is>
      </c>
      <c r="B19" s="1" t="n">
        <v>44249</v>
      </c>
      <c r="C19" s="1" t="n">
        <v>45892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45892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45892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58922-2021</t>
        </is>
      </c>
      <c r="B22" s="1" t="n">
        <v>44489</v>
      </c>
      <c r="C22" s="1" t="n">
        <v>45892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8970-2021</t>
        </is>
      </c>
      <c r="B23" s="1" t="n">
        <v>44249</v>
      </c>
      <c r="C23" s="1" t="n">
        <v>45892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9009-2021</t>
        </is>
      </c>
      <c r="B24" s="1" t="n">
        <v>44249</v>
      </c>
      <c r="C24" s="1" t="n">
        <v>45892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55746-2020</t>
        </is>
      </c>
      <c r="B25" s="1" t="n">
        <v>44132</v>
      </c>
      <c r="C25" s="1" t="n">
        <v>45892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63049-2021</t>
        </is>
      </c>
      <c r="B26" s="1" t="n">
        <v>44505</v>
      </c>
      <c r="C26" s="1" t="n">
        <v>45892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3134-2022</t>
        </is>
      </c>
      <c r="B27" s="1" t="n">
        <v>44582</v>
      </c>
      <c r="C27" s="1" t="n">
        <v>45892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45892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39963-2020</t>
        </is>
      </c>
      <c r="B29" s="1" t="n">
        <v>44067</v>
      </c>
      <c r="C29" s="1" t="n">
        <v>45892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40169-2021</t>
        </is>
      </c>
      <c r="B30" s="1" t="n">
        <v>44418</v>
      </c>
      <c r="C30" s="1" t="n">
        <v>45892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36710-2024</t>
        </is>
      </c>
      <c r="B31" s="1" t="n">
        <v>45537</v>
      </c>
      <c r="C31" s="1" t="n">
        <v>45892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45892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45892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13839-2023</t>
        </is>
      </c>
      <c r="B34" s="1" t="n">
        <v>45007</v>
      </c>
      <c r="C34" s="1" t="n">
        <v>45892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36712-2024</t>
        </is>
      </c>
      <c r="B35" s="1" t="n">
        <v>45537</v>
      </c>
      <c r="C35" s="1" t="n">
        <v>45892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6102-2022</t>
        </is>
      </c>
      <c r="B36" s="1" t="n">
        <v>44599</v>
      </c>
      <c r="C36" s="1" t="n">
        <v>45892</v>
      </c>
      <c r="D36" t="inlineStr">
        <is>
          <t>SÖDERMANLANDS LÄN</t>
        </is>
      </c>
      <c r="E36" t="inlineStr">
        <is>
          <t>TROSA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60722-2024</t>
        </is>
      </c>
      <c r="B37" s="1" t="n">
        <v>45644.53309027778</v>
      </c>
      <c r="C37" s="1" t="n">
        <v>45892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60723-2024</t>
        </is>
      </c>
      <c r="B38" s="1" t="n">
        <v>45644.53581018518</v>
      </c>
      <c r="C38" s="1" t="n">
        <v>45892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15604-2021</t>
        </is>
      </c>
      <c r="B39" s="1" t="n">
        <v>44285</v>
      </c>
      <c r="C39" s="1" t="n">
        <v>45892</v>
      </c>
      <c r="D39" t="inlineStr">
        <is>
          <t>SÖDERMANLANDS LÄN</t>
        </is>
      </c>
      <c r="E39" t="inlineStr">
        <is>
          <t>TROSA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13829-2023</t>
        </is>
      </c>
      <c r="B40" s="1" t="n">
        <v>45007</v>
      </c>
      <c r="C40" s="1" t="n">
        <v>45892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45892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45892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35058-2024</t>
        </is>
      </c>
      <c r="B43" s="1" t="n">
        <v>45527</v>
      </c>
      <c r="C43" s="1" t="n">
        <v>45892</v>
      </c>
      <c r="D43" t="inlineStr">
        <is>
          <t>SÖDERMANLANDS LÄN</t>
        </is>
      </c>
      <c r="E43" t="inlineStr">
        <is>
          <t>TROSA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1431-2023</t>
        </is>
      </c>
      <c r="B44" s="1" t="n">
        <v>44937</v>
      </c>
      <c r="C44" s="1" t="n">
        <v>45892</v>
      </c>
      <c r="D44" t="inlineStr">
        <is>
          <t>SÖDERMANLANDS LÄN</t>
        </is>
      </c>
      <c r="E44" t="inlineStr">
        <is>
          <t>TROSA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48793-2024</t>
        </is>
      </c>
      <c r="B45" s="1" t="n">
        <v>45593</v>
      </c>
      <c r="C45" s="1" t="n">
        <v>45892</v>
      </c>
      <c r="D45" t="inlineStr">
        <is>
          <t>SÖDERMANLANDS LÄN</t>
        </is>
      </c>
      <c r="E45" t="inlineStr">
        <is>
          <t>TROSA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15593-2025</t>
        </is>
      </c>
      <c r="B46" s="1" t="n">
        <v>45747</v>
      </c>
      <c r="C46" s="1" t="n">
        <v>45892</v>
      </c>
      <c r="D46" t="inlineStr">
        <is>
          <t>SÖDERMANLANDS LÄN</t>
        </is>
      </c>
      <c r="E46" t="inlineStr">
        <is>
          <t>TROSA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44720-2022</t>
        </is>
      </c>
      <c r="B47" s="1" t="n">
        <v>44840</v>
      </c>
      <c r="C47" s="1" t="n">
        <v>45892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62474-2022</t>
        </is>
      </c>
      <c r="B48" s="1" t="n">
        <v>44916</v>
      </c>
      <c r="C48" s="1" t="n">
        <v>45892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45892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55753-2020</t>
        </is>
      </c>
      <c r="B50" s="1" t="n">
        <v>44132</v>
      </c>
      <c r="C50" s="1" t="n">
        <v>45892</v>
      </c>
      <c r="D50" t="inlineStr">
        <is>
          <t>SÖDERMANLANDS LÄN</t>
        </is>
      </c>
      <c r="E50" t="inlineStr">
        <is>
          <t>TROSA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11736-2024</t>
        </is>
      </c>
      <c r="B51" s="1" t="n">
        <v>45373</v>
      </c>
      <c r="C51" s="1" t="n">
        <v>45892</v>
      </c>
      <c r="D51" t="inlineStr">
        <is>
          <t>SÖDERMANLANDS LÄN</t>
        </is>
      </c>
      <c r="E51" t="inlineStr">
        <is>
          <t>TROSA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35054-2024</t>
        </is>
      </c>
      <c r="B52" s="1" t="n">
        <v>45527</v>
      </c>
      <c r="C52" s="1" t="n">
        <v>45892</v>
      </c>
      <c r="D52" t="inlineStr">
        <is>
          <t>SÖDERMANLANDS LÄN</t>
        </is>
      </c>
      <c r="E52" t="inlineStr">
        <is>
          <t>TROSA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36812-2024</t>
        </is>
      </c>
      <c r="B53" s="1" t="n">
        <v>45537</v>
      </c>
      <c r="C53" s="1" t="n">
        <v>45892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45280-2020</t>
        </is>
      </c>
      <c r="B54" s="1" t="n">
        <v>44088</v>
      </c>
      <c r="C54" s="1" t="n">
        <v>45892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45892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45892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39827-2024</t>
        </is>
      </c>
      <c r="B57" s="1" t="n">
        <v>45553.40293981481</v>
      </c>
      <c r="C57" s="1" t="n">
        <v>45892</v>
      </c>
      <c r="D57" t="inlineStr">
        <is>
          <t>SÖDERMANLANDS LÄN</t>
        </is>
      </c>
      <c r="E57" t="inlineStr">
        <is>
          <t>TROSA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45892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7204-2024</t>
        </is>
      </c>
      <c r="B59" s="1" t="n">
        <v>45344</v>
      </c>
      <c r="C59" s="1" t="n">
        <v>45892</v>
      </c>
      <c r="D59" t="inlineStr">
        <is>
          <t>SÖDERMANLANDS LÄN</t>
        </is>
      </c>
      <c r="E59" t="inlineStr">
        <is>
          <t>TROSA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10998-2024</t>
        </is>
      </c>
      <c r="B60" s="1" t="n">
        <v>45370</v>
      </c>
      <c r="C60" s="1" t="n">
        <v>45892</v>
      </c>
      <c r="D60" t="inlineStr">
        <is>
          <t>SÖDERMANLANDS LÄN</t>
        </is>
      </c>
      <c r="E60" t="inlineStr">
        <is>
          <t>TROSA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16029-2023</t>
        </is>
      </c>
      <c r="B61" s="1" t="n">
        <v>45027</v>
      </c>
      <c r="C61" s="1" t="n">
        <v>45892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11742-2024</t>
        </is>
      </c>
      <c r="B62" s="1" t="n">
        <v>45373</v>
      </c>
      <c r="C62" s="1" t="n">
        <v>45892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45892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44579-2022</t>
        </is>
      </c>
      <c r="B64" s="1" t="n">
        <v>44840.4959375</v>
      </c>
      <c r="C64" s="1" t="n">
        <v>45892</v>
      </c>
      <c r="D64" t="inlineStr">
        <is>
          <t>SÖDERMANLANDS LÄN</t>
        </is>
      </c>
      <c r="E64" t="inlineStr">
        <is>
          <t>TROSA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15293-2023</t>
        </is>
      </c>
      <c r="B65" s="1" t="n">
        <v>45019</v>
      </c>
      <c r="C65" s="1" t="n">
        <v>45892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12447-2024</t>
        </is>
      </c>
      <c r="B66" s="1" t="n">
        <v>45379.46974537037</v>
      </c>
      <c r="C66" s="1" t="n">
        <v>45892</v>
      </c>
      <c r="D66" t="inlineStr">
        <is>
          <t>SÖDERMANLANDS LÄN</t>
        </is>
      </c>
      <c r="E66" t="inlineStr">
        <is>
          <t>TROSA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17600-2022</t>
        </is>
      </c>
      <c r="B67" s="1" t="n">
        <v>44680</v>
      </c>
      <c r="C67" s="1" t="n">
        <v>45892</v>
      </c>
      <c r="D67" t="inlineStr">
        <is>
          <t>SÖDERMANLANDS LÄN</t>
        </is>
      </c>
      <c r="E67" t="inlineStr">
        <is>
          <t>TROSA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47228-2020</t>
        </is>
      </c>
      <c r="B68" s="1" t="n">
        <v>44097</v>
      </c>
      <c r="C68" s="1" t="n">
        <v>45892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40498-2020</t>
        </is>
      </c>
      <c r="B69" s="1" t="n">
        <v>44069</v>
      </c>
      <c r="C69" s="1" t="n">
        <v>45892</v>
      </c>
      <c r="D69" t="inlineStr">
        <is>
          <t>SÖDERMANLANDS LÄN</t>
        </is>
      </c>
      <c r="E69" t="inlineStr">
        <is>
          <t>TROSA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31166-2025</t>
        </is>
      </c>
      <c r="B70" s="1" t="n">
        <v>45832.6597337963</v>
      </c>
      <c r="C70" s="1" t="n">
        <v>45892</v>
      </c>
      <c r="D70" t="inlineStr">
        <is>
          <t>SÖDERMANLANDS LÄN</t>
        </is>
      </c>
      <c r="E70" t="inlineStr">
        <is>
          <t>TROSA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7127-2021</t>
        </is>
      </c>
      <c r="B71" s="1" t="n">
        <v>44238</v>
      </c>
      <c r="C71" s="1" t="n">
        <v>45892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45892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45892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32213-2025</t>
        </is>
      </c>
      <c r="B74" s="1" t="n">
        <v>45835.58582175926</v>
      </c>
      <c r="C74" s="1" t="n">
        <v>45892</v>
      </c>
      <c r="D74" t="inlineStr">
        <is>
          <t>SÖDERMANLANDS LÄN</t>
        </is>
      </c>
      <c r="E74" t="inlineStr">
        <is>
          <t>TROSA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61000-2024</t>
        </is>
      </c>
      <c r="B75" s="1" t="n">
        <v>45645.43471064815</v>
      </c>
      <c r="C75" s="1" t="n">
        <v>45892</v>
      </c>
      <c r="D75" t="inlineStr">
        <is>
          <t>SÖDERMANLANDS LÄN</t>
        </is>
      </c>
      <c r="E75" t="inlineStr">
        <is>
          <t>TROSA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45892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45892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59927-2020</t>
        </is>
      </c>
      <c r="B78" s="1" t="n">
        <v>44151</v>
      </c>
      <c r="C78" s="1" t="n">
        <v>45892</v>
      </c>
      <c r="D78" t="inlineStr">
        <is>
          <t>SÖDERMANLANDS LÄN</t>
        </is>
      </c>
      <c r="E78" t="inlineStr">
        <is>
          <t>TROSA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45892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56117-2022</t>
        </is>
      </c>
      <c r="B80" s="1" t="n">
        <v>44889</v>
      </c>
      <c r="C80" s="1" t="n">
        <v>45892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15169-2023</t>
        </is>
      </c>
      <c r="B81" s="1" t="n">
        <v>45016</v>
      </c>
      <c r="C81" s="1" t="n">
        <v>45892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57004-2023</t>
        </is>
      </c>
      <c r="B82" s="1" t="n">
        <v>45244</v>
      </c>
      <c r="C82" s="1" t="n">
        <v>45892</v>
      </c>
      <c r="D82" t="inlineStr">
        <is>
          <t>SÖDERMANLANDS LÄN</t>
        </is>
      </c>
      <c r="E82" t="inlineStr">
        <is>
          <t>TROSA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2025-08-23T08:39:37Z</dcterms:created>
  <dcterms:modified xmlns:dcterms="http://purl.org/dc/terms/" xmlns:xsi="http://www.w3.org/2001/XMLSchema-instance" xsi:type="dcterms:W3CDTF">2025-08-23T08:39:37Z</dcterms:modified>
</cp:coreProperties>
</file>