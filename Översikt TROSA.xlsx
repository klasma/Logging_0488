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45877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45877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45296-2020</t>
        </is>
      </c>
      <c r="B4" s="1" t="n">
        <v>44088</v>
      </c>
      <c r="C4" s="1" t="n">
        <v>45877</v>
      </c>
      <c r="D4" t="inlineStr">
        <is>
          <t>SÖDERMANLANDS LÄN</t>
        </is>
      </c>
      <c r="E4" t="inlineStr">
        <is>
          <t>TROSA</t>
        </is>
      </c>
      <c r="G4" t="n">
        <v>49.6</v>
      </c>
      <c r="H4" t="n">
        <v>5</v>
      </c>
      <c r="I4" t="n">
        <v>0</v>
      </c>
      <c r="J4" t="n">
        <v>2</v>
      </c>
      <c r="K4" t="n">
        <v>2</v>
      </c>
      <c r="L4" t="n">
        <v>0</v>
      </c>
      <c r="M4" t="n">
        <v>0</v>
      </c>
      <c r="N4" t="n">
        <v>0</v>
      </c>
      <c r="O4" t="n">
        <v>4</v>
      </c>
      <c r="P4" t="n">
        <v>2</v>
      </c>
      <c r="Q4" t="n">
        <v>6</v>
      </c>
      <c r="R4" s="2" t="inlineStr">
        <is>
          <t>Kricka
Tofsvipa
Rödvingetrast
Svedjenäva
Tjäder
Törnskata</t>
        </is>
      </c>
      <c r="S4">
        <f>HYPERLINK("https://klasma.github.io/Logging_0488/artfynd/A 45296-2020 artfynd.xlsx", "A 45296-2020")</f>
        <v/>
      </c>
      <c r="T4">
        <f>HYPERLINK("https://klasma.github.io/Logging_0488/kartor/A 45296-2020 karta.png", "A 45296-2020")</f>
        <v/>
      </c>
      <c r="V4">
        <f>HYPERLINK("https://klasma.github.io/Logging_0488/klagomål/A 45296-2020 FSC-klagomål.docx", "A 45296-2020")</f>
        <v/>
      </c>
      <c r="W4">
        <f>HYPERLINK("https://klasma.github.io/Logging_0488/klagomålsmail/A 45296-2020 FSC-klagomål mail.docx", "A 45296-2020")</f>
        <v/>
      </c>
      <c r="X4">
        <f>HYPERLINK("https://klasma.github.io/Logging_0488/tillsyn/A 45296-2020 tillsynsbegäran.docx", "A 45296-2020")</f>
        <v/>
      </c>
      <c r="Y4">
        <f>HYPERLINK("https://klasma.github.io/Logging_0488/tillsynsmail/A 45296-2020 tillsynsbegäran mail.docx", "A 45296-2020")</f>
        <v/>
      </c>
      <c r="Z4">
        <f>HYPERLINK("https://klasma.github.io/Logging_0488/fåglar/A 45296-2020 prioriterade fågelarter.docx", "A 45296-2020")</f>
        <v/>
      </c>
    </row>
    <row r="5" ht="15" customHeight="1">
      <c r="A5" t="inlineStr">
        <is>
          <t>A 40489-2020</t>
        </is>
      </c>
      <c r="B5" s="1" t="n">
        <v>44069</v>
      </c>
      <c r="C5" s="1" t="n">
        <v>45877</v>
      </c>
      <c r="D5" t="inlineStr">
        <is>
          <t>SÖDERMANLANDS LÄN</t>
        </is>
      </c>
      <c r="E5" t="inlineStr">
        <is>
          <t>TROSA</t>
        </is>
      </c>
      <c r="G5" t="n">
        <v>6.6</v>
      </c>
      <c r="H5" t="n">
        <v>5</v>
      </c>
      <c r="I5" t="n">
        <v>0</v>
      </c>
      <c r="J5" t="n">
        <v>2</v>
      </c>
      <c r="K5" t="n">
        <v>2</v>
      </c>
      <c r="L5" t="n">
        <v>0</v>
      </c>
      <c r="M5" t="n">
        <v>0</v>
      </c>
      <c r="N5" t="n">
        <v>0</v>
      </c>
      <c r="O5" t="n">
        <v>4</v>
      </c>
      <c r="P5" t="n">
        <v>2</v>
      </c>
      <c r="Q5" t="n">
        <v>5</v>
      </c>
      <c r="R5" s="2" t="inlineStr">
        <is>
          <t>Kricka
Tallbit
Gulsparv
Svartvit flugsnappare
Järnsparv</t>
        </is>
      </c>
      <c r="S5">
        <f>HYPERLINK("https://klasma.github.io/Logging_0488/artfynd/A 40489-2020 artfynd.xlsx", "A 40489-2020")</f>
        <v/>
      </c>
      <c r="T5">
        <f>HYPERLINK("https://klasma.github.io/Logging_0488/kartor/A 40489-2020 karta.png", "A 40489-2020")</f>
        <v/>
      </c>
      <c r="V5">
        <f>HYPERLINK("https://klasma.github.io/Logging_0488/klagomål/A 40489-2020 FSC-klagomål.docx", "A 40489-2020")</f>
        <v/>
      </c>
      <c r="W5">
        <f>HYPERLINK("https://klasma.github.io/Logging_0488/klagomålsmail/A 40489-2020 FSC-klagomål mail.docx", "A 40489-2020")</f>
        <v/>
      </c>
      <c r="X5">
        <f>HYPERLINK("https://klasma.github.io/Logging_0488/tillsyn/A 40489-2020 tillsynsbegäran.docx", "A 40489-2020")</f>
        <v/>
      </c>
      <c r="Y5">
        <f>HYPERLINK("https://klasma.github.io/Logging_0488/tillsynsmail/A 40489-2020 tillsynsbegäran mail.docx", "A 40489-2020")</f>
        <v/>
      </c>
      <c r="Z5">
        <f>HYPERLINK("https://klasma.github.io/Logging_0488/fåglar/A 40489-2020 prioriterade fågelarter.docx", "A 40489-2020")</f>
        <v/>
      </c>
    </row>
    <row r="6" ht="15" customHeight="1">
      <c r="A6" t="inlineStr">
        <is>
          <t>A 38880-2020</t>
        </is>
      </c>
      <c r="B6" s="1" t="n">
        <v>44062</v>
      </c>
      <c r="C6" s="1" t="n">
        <v>45877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45877</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45877</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45877</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45877</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45877</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45877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45877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45877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45877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45877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45877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45877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45877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45877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45877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45877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45877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45877</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45877</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45877</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45877</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45877</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45877</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45877</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45877</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45877</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45877</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45877</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45877</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45877</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45877</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45877</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45877</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45877</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45877</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45877</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45877</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45877</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45877</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45877</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45877</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45877</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45877</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45877</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45877</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45877</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45877</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45877</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45877</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45877</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45877</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45877</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45877</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45877</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45877</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45877</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45877</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45877</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45877</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45877</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45877</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45877</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45877</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45877</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45877</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45877</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45877</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45877</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45877</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45877</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45877</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45877</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45877</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45877</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45877</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45877</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45877</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45877</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45877</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45877</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45877</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45877</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45877</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45877</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45877</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45877</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45877</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45877</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45877</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45877</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45877</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45877</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45877</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45877</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45877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45877</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45877</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45877</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45877</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45877</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45877</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45877</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45877</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45877</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45877</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45877</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45877</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45877</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45877</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45877</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45877</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45877</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45877</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45877</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45877</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45877</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45877</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45877</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45877</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45877</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45877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45877</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45877</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45877</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45877</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45877</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45877</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45877</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45877</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45877</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45877</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45877</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45877</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45877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45877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45877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45877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45877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45877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45877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45877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45877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45877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45877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45877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45877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45877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45877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45877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45877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45877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45877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45877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45877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45877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45877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45877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45877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45877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45877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45877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45877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45877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45877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45877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45877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45877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45877</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45877</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45877</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45877</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45877</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2025-08-09T01:02:52Z</dcterms:created>
  <dcterms:modified xmlns:dcterms="http://purl.org/dc/terms/" xmlns:xsi="http://www.w3.org/2001/XMLSchema-instance" xsi:type="dcterms:W3CDTF">2025-08-09T01:02:52Z</dcterms:modified>
</cp:coreProperties>
</file>