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46293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46293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46293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46293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46293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46293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46293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46293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46293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46293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46293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46293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46293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46293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46293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Flattoppad klubbsvamp</t>
        </is>
      </c>
      <c r="W16">
        <f>HYPERLINK("https://klasma.github.io/Logging_0488/artfynd/A 57251-2025 artfynd.xlsx", "A 57251-2025")</f>
        <v/>
      </c>
      <c r="X16">
        <f>HYPERLINK("https://klasma.github.io/Logging_0488/kartor/A 57251-2025 karta.png", "A 57251-2025")</f>
        <v/>
      </c>
      <c r="Y16">
        <f>HYPERLINK("https://klasma.github.io/Logging_0488/kartor_geotiff/A 57251-2025 georefererad karta.tif", "A 57251-2025")</f>
        <v/>
      </c>
      <c r="AA16">
        <f>HYPERLINK("https://klasma.github.io/Logging_0488/klagomål/A 57251-2025 FSC-klagomål.docx", "A 57251-2025")</f>
        <v/>
      </c>
      <c r="AB16">
        <f>HYPERLINK("https://klasma.github.io/Logging_0488/klagomålsmail/A 57251-2025 FSC-klagomål mail.docx", "A 57251-2025")</f>
        <v/>
      </c>
      <c r="AC16">
        <f>HYPERLINK("https://klasma.github.io/Logging_0488/tillsyn/A 57251-2025 tillsynsbegäran.docx", "A 57251-2025")</f>
        <v/>
      </c>
      <c r="AD16">
        <f>HYPERLINK("https://klasma.github.io/Logging_0488/tillsynsmail/A 57251-2025 tillsynsbegäran mail.docx", "A 57251-2025")</f>
        <v/>
      </c>
    </row>
    <row r="17" ht="15" customHeight="1">
      <c r="A17" t="inlineStr">
        <is>
          <t>A 57004-2023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45244</v>
      </c>
      <c r="E17" s="1" t="n">
        <v>46293</v>
      </c>
      <c r="F17" t="inlineStr">
        <is>
          <t>SÖDERMANLANDS LÄN</t>
        </is>
      </c>
      <c r="G17" t="inlineStr">
        <is>
          <t>TROSA</t>
        </is>
      </c>
      <c r="H17" t="inlineStr">
        <is>
          <t>Kommuner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HYPERLINK("https://klasma.github.io/Logging_0488/artfynd/A 57004-2023 artfynd.xlsx", "A 57004-2023")</f>
        <v/>
      </c>
      <c r="X17">
        <f>HYPERLINK("https://klasma.github.io/Logging_0488/kartor/A 57004-2023 karta.png", "A 57004-2023")</f>
        <v/>
      </c>
      <c r="Y17">
        <f>HYPERLINK("https://klasma.github.io/Logging_0488/kartor_geotiff/A 57004-2023 georefererad karta.tif", "A 57004-2023")</f>
        <v/>
      </c>
      <c r="AA17">
        <f>HYPERLINK("https://klasma.github.io/Logging_0488/klagomål/A 57004-2023 FSC-klagomål.docx", "A 57004-2023")</f>
        <v/>
      </c>
      <c r="AB17">
        <f>HYPERLINK("https://klasma.github.io/Logging_0488/klagomålsmail/A 57004-2023 FSC-klagomål mail.docx", "A 57004-2023")</f>
        <v/>
      </c>
      <c r="AC17">
        <f>HYPERLINK("https://klasma.github.io/Logging_0488/tillsyn/A 57004-2023 tillsynsbegäran.docx", "A 57004-2023")</f>
        <v/>
      </c>
      <c r="AD17">
        <f>HYPERLINK("https://klasma.github.io/Logging_0488/tillsynsmail/A 57004-2023 tillsynsbegäran mail.docx", "A 57004-2023")</f>
        <v/>
      </c>
      <c r="AE17">
        <f>HYPERLINK("https://klasma.github.io/Logging_0488/fåglar/A 57004-2023 prioriterade fågelarter.docx", "A 57004-2023")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46293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56117-2022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46293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HYPERLINK("https://klasma.github.io/Logging_0488/artfynd/A 56117-2022 artfynd.xlsx", "A 56117-2022")</f>
        <v/>
      </c>
      <c r="X19">
        <f>HYPERLINK("https://klasma.github.io/Logging_0488/kartor/A 56117-2022 karta.png", "A 56117-2022")</f>
        <v/>
      </c>
      <c r="Y19">
        <f>HYPERLINK("https://klasma.github.io/Logging_0488/kartor_geotiff/A 56117-2022 georefererad karta.tif", "A 56117-2022")</f>
        <v/>
      </c>
      <c r="AA19">
        <f>HYPERLINK("https://klasma.github.io/Logging_0488/klagomål/A 56117-2022 FSC-klagomål.docx", "A 56117-2022")</f>
        <v/>
      </c>
      <c r="AB19">
        <f>HYPERLINK("https://klasma.github.io/Logging_0488/klagomålsmail/A 56117-2022 FSC-klagomål mail.docx", "A 56117-2022")</f>
        <v/>
      </c>
      <c r="AC19">
        <f>HYPERLINK("https://klasma.github.io/Logging_0488/tillsyn/A 56117-2022 tillsynsbegäran.docx", "A 56117-2022")</f>
        <v/>
      </c>
      <c r="AD19">
        <f>HYPERLINK("https://klasma.github.io/Logging_0488/tillsynsmail/A 56117-2022 tillsynsbegäran mail.docx", "A 56117-2022")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46293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46293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46293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46293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46293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46293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46293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46293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46293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35054-2024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45527</v>
      </c>
      <c r="E29" s="1" t="n">
        <v>46293</v>
      </c>
      <c r="F29" t="inlineStr">
        <is>
          <t>SÖDERMANLANDS LÄN</t>
        </is>
      </c>
      <c r="G29" t="inlineStr">
        <is>
          <t>TROSA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36709-2024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46293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36711-2024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46293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46293</v>
      </c>
      <c r="F32" t="inlineStr">
        <is>
          <t>SÖDERMANLANDS LÄN</t>
        </is>
      </c>
      <c r="G32" t="inlineStr">
        <is>
          <t>TROSA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46293</v>
      </c>
      <c r="F33" t="inlineStr">
        <is>
          <t>SÖDERMANLANDS LÄN</t>
        </is>
      </c>
      <c r="G33" t="inlineStr">
        <is>
          <t>TROSA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3337-2026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46293</v>
      </c>
      <c r="F34" t="inlineStr">
        <is>
          <t>SÖDERMANLANDS LÄN</t>
        </is>
      </c>
      <c r="G34" t="inlineStr">
        <is>
          <t>TROSA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44599</v>
      </c>
      <c r="E35" s="1" t="n">
        <v>46293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62474-2022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44916</v>
      </c>
      <c r="E36" s="1" t="n">
        <v>46293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13810-2023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45007</v>
      </c>
      <c r="E37" s="1" t="n">
        <v>46293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16029-2023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45027</v>
      </c>
      <c r="E38" s="1" t="n">
        <v>46293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10393-2026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46077</v>
      </c>
      <c r="E39" s="1" t="n">
        <v>46293</v>
      </c>
      <c r="F39" t="inlineStr">
        <is>
          <t>SÖDERMANLANDS LÄN</t>
        </is>
      </c>
      <c r="G39" t="inlineStr">
        <is>
          <t>TROSA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11069-2026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46079</v>
      </c>
      <c r="E40" s="1" t="n">
        <v>46293</v>
      </c>
      <c r="F40" t="inlineStr">
        <is>
          <t>SÖDERMANLANDS LÄN</t>
        </is>
      </c>
      <c r="G40" t="inlineStr">
        <is>
          <t>TROSA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11119-2026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46293</v>
      </c>
      <c r="F41" t="inlineStr">
        <is>
          <t>SÖDERMANLANDS LÄN</t>
        </is>
      </c>
      <c r="G41" t="inlineStr">
        <is>
          <t>TROSA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11039-2026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46079</v>
      </c>
      <c r="E42" s="1" t="n">
        <v>46293</v>
      </c>
      <c r="F42" t="inlineStr">
        <is>
          <t>SÖDERMANLANDS LÄN</t>
        </is>
      </c>
      <c r="G42" t="inlineStr">
        <is>
          <t>TROSA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11083-2026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46079</v>
      </c>
      <c r="E43" s="1" t="n">
        <v>46293</v>
      </c>
      <c r="F43" t="inlineStr">
        <is>
          <t>SÖDERMANLANDS LÄN</t>
        </is>
      </c>
      <c r="G43" t="inlineStr">
        <is>
          <t>TROSA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45933</v>
      </c>
      <c r="E44" s="1" t="n">
        <v>46293</v>
      </c>
      <c r="F44" t="inlineStr">
        <is>
          <t>SÖDERMANLANDS LÄN</t>
        </is>
      </c>
      <c r="G44" t="inlineStr">
        <is>
          <t>TROSA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46293</v>
      </c>
      <c r="F45" t="inlineStr">
        <is>
          <t>SÖDERMANLANDS LÄN</t>
        </is>
      </c>
      <c r="G45" t="inlineStr">
        <is>
          <t>TROSA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7204-2024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45344</v>
      </c>
      <c r="E46" s="1" t="n">
        <v>46293</v>
      </c>
      <c r="F46" t="inlineStr">
        <is>
          <t>SÖDERMANLANDS LÄN</t>
        </is>
      </c>
      <c r="G46" t="inlineStr">
        <is>
          <t>TROSA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44599</v>
      </c>
      <c r="E47" s="1" t="n">
        <v>46293</v>
      </c>
      <c r="F47" t="inlineStr">
        <is>
          <t>SÖDERMANLANDS LÄN</t>
        </is>
      </c>
      <c r="G47" t="inlineStr">
        <is>
          <t>TROSA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55257-2025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45968</v>
      </c>
      <c r="E48" s="1" t="n">
        <v>46293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55265-2025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45968</v>
      </c>
      <c r="E49" s="1" t="n">
        <v>46293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46293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57338-2025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46293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57344-2025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45979</v>
      </c>
      <c r="E52" s="1" t="n">
        <v>46293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46293</v>
      </c>
      <c r="F53" t="inlineStr">
        <is>
          <t>SÖDERMANLANDS LÄN</t>
        </is>
      </c>
      <c r="G53" t="inlineStr">
        <is>
          <t>TROSA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45832</v>
      </c>
      <c r="E54" s="1" t="n">
        <v>46293</v>
      </c>
      <c r="F54" t="inlineStr">
        <is>
          <t>SÖDERMANLANDS LÄN</t>
        </is>
      </c>
      <c r="G54" t="inlineStr">
        <is>
          <t>TROSA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59222-2025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45988</v>
      </c>
      <c r="E55" s="1" t="n">
        <v>46293</v>
      </c>
      <c r="F55" t="inlineStr">
        <is>
          <t>SÖDERMANLANDS LÄN</t>
        </is>
      </c>
      <c r="G55" t="inlineStr">
        <is>
          <t>TROSA</t>
        </is>
      </c>
      <c r="H55" t="inlineStr">
        <is>
          <t>Holmen skog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13829-2023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46293</v>
      </c>
      <c r="F56" t="inlineStr">
        <is>
          <t>SÖDERMANLANDS LÄN</t>
        </is>
      </c>
      <c r="G56" t="inlineStr">
        <is>
          <t>TROSA</t>
        </is>
      </c>
      <c r="H56" t="inlineStr">
        <is>
          <t>Holmen skog AB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20191-2026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46293</v>
      </c>
      <c r="F57" t="inlineStr">
        <is>
          <t>SÖDERMANLANDS LÄN</t>
        </is>
      </c>
      <c r="G57" t="inlineStr">
        <is>
          <t>TROSA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11103-2026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46079</v>
      </c>
      <c r="E58" s="1" t="n">
        <v>46293</v>
      </c>
      <c r="F58" t="inlineStr">
        <is>
          <t>SÖDERMANLANDS LÄN</t>
        </is>
      </c>
      <c r="G58" t="inlineStr">
        <is>
          <t>TROSA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44916</v>
      </c>
      <c r="E59" s="1" t="n">
        <v>46293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45379</v>
      </c>
      <c r="E60" s="1" t="n">
        <v>46293</v>
      </c>
      <c r="F60" t="inlineStr">
        <is>
          <t>SÖDERMANLANDS LÄN</t>
        </is>
      </c>
      <c r="G60" t="inlineStr">
        <is>
          <t>TROSA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46293</v>
      </c>
      <c r="F61" t="inlineStr">
        <is>
          <t>SÖDERMANLANDS LÄN</t>
        </is>
      </c>
      <c r="G61" t="inlineStr">
        <is>
          <t>TROSA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45553</v>
      </c>
      <c r="E62" s="1" t="n">
        <v>46293</v>
      </c>
      <c r="F62" t="inlineStr">
        <is>
          <t>SÖDERMANLANDS LÄN</t>
        </is>
      </c>
      <c r="G62" t="inlineStr">
        <is>
          <t>TROSA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13675-2025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45736</v>
      </c>
      <c r="E63" s="1" t="n">
        <v>46293</v>
      </c>
      <c r="F63" t="inlineStr">
        <is>
          <t>SÖDERMANLANDS LÄN</t>
        </is>
      </c>
      <c r="G63" t="inlineStr">
        <is>
          <t>TROSA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46293</v>
      </c>
      <c r="F64" t="inlineStr">
        <is>
          <t>SÖDERMANLANDS LÄN</t>
        </is>
      </c>
      <c r="G64" t="inlineStr">
        <is>
          <t>TROSA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64286-2023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45280</v>
      </c>
      <c r="E65" s="1" t="n">
        <v>46293</v>
      </c>
      <c r="F65" t="inlineStr">
        <is>
          <t>SÖDERMANLANDS LÄN</t>
        </is>
      </c>
      <c r="G65" t="inlineStr">
        <is>
          <t>TROSA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36944-2026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46273</v>
      </c>
      <c r="E66" s="1" t="n">
        <v>46293</v>
      </c>
      <c r="F66" t="inlineStr">
        <is>
          <t>SÖDERMANLANDS LÄN</t>
        </is>
      </c>
      <c r="G66" t="inlineStr">
        <is>
          <t>TROSA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46293</v>
      </c>
      <c r="F67" t="inlineStr">
        <is>
          <t>SÖDERMANLANDS LÄN</t>
        </is>
      </c>
      <c r="G67" t="inlineStr">
        <is>
          <t>TROSA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46293</v>
      </c>
      <c r="F68" t="inlineStr">
        <is>
          <t>SÖDERMANLANDS LÄN</t>
        </is>
      </c>
      <c r="G68" t="inlineStr">
        <is>
          <t>TROSA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46293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36712-2024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45537</v>
      </c>
      <c r="E70" s="1" t="n">
        <v>46293</v>
      </c>
      <c r="F70" t="inlineStr">
        <is>
          <t>SÖDERMANLANDS LÄN</t>
        </is>
      </c>
      <c r="G70" t="inlineStr">
        <is>
          <t>TROSA</t>
        </is>
      </c>
      <c r="H70" t="inlineStr">
        <is>
          <t>Övriga Aktiebolag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45007</v>
      </c>
      <c r="E71" s="1" t="n">
        <v>46293</v>
      </c>
      <c r="F71" t="inlineStr">
        <is>
          <t>SÖDERMANLANDS LÄN</t>
        </is>
      </c>
      <c r="G71" t="inlineStr">
        <is>
          <t>TROSA</t>
        </is>
      </c>
      <c r="H71" t="inlineStr">
        <is>
          <t>Holmen skog AB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46293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46293</v>
      </c>
      <c r="F73" t="inlineStr">
        <is>
          <t>SÖDERMANLANDS LÄN</t>
        </is>
      </c>
      <c r="G73" t="inlineStr">
        <is>
          <t>TROSA</t>
        </is>
      </c>
      <c r="H73" t="inlineStr">
        <is>
          <t>Kommuner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44937</v>
      </c>
      <c r="E74" s="1" t="n">
        <v>46293</v>
      </c>
      <c r="F74" t="inlineStr">
        <is>
          <t>SÖDERMANLANDS LÄN</t>
        </is>
      </c>
      <c r="G74" t="inlineStr">
        <is>
          <t>TROSA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15293-2023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46293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46293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45370</v>
      </c>
      <c r="E77" s="1" t="n">
        <v>46293</v>
      </c>
      <c r="F77" t="inlineStr">
        <is>
          <t>SÖDERMANLANDS LÄN</t>
        </is>
      </c>
      <c r="G77" t="inlineStr">
        <is>
          <t>TROSA</t>
        </is>
      </c>
      <c r="I77" t="n">
        <v>9.5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29930-2022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44756</v>
      </c>
      <c r="E78" s="1" t="n">
        <v>46293</v>
      </c>
      <c r="F78" t="inlineStr">
        <is>
          <t>SÖDERMANLANDS LÄN</t>
        </is>
      </c>
      <c r="G78" t="inlineStr">
        <is>
          <t>TROSA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46293</v>
      </c>
      <c r="F79" t="inlineStr">
        <is>
          <t>SÖDERMANLANDS LÄN</t>
        </is>
      </c>
      <c r="G79" t="inlineStr">
        <is>
          <t>TROSA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48793-2024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45593</v>
      </c>
      <c r="E80" s="1" t="n">
        <v>46293</v>
      </c>
      <c r="F80" t="inlineStr">
        <is>
          <t>SÖDERMANLANDS LÄN</t>
        </is>
      </c>
      <c r="G80" t="inlineStr">
        <is>
          <t>TROSA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46293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46293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2026-09-28T01:58:57Z</dcterms:created>
  <dcterms:modified xmlns:dcterms="http://purl.org/dc/terms/" xmlns:xsi="http://www.w3.org/2001/XMLSchema-instance" xsi:type="dcterms:W3CDTF">2026-09-28T01:58:57Z</dcterms:modified>
</cp:coreProperties>
</file>