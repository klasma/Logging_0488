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46272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46272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46272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46272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46272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46272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46272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46272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46272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46272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46272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57251-2025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46272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Aktiebolag</t>
        </is>
      </c>
      <c r="I13" t="n">
        <v>1.6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Flattoppad klubbsvamp</t>
        </is>
      </c>
      <c r="W13">
        <f>HYPERLINK("https://klasma.github.io/Logging_0488/artfynd/A 57251-2025 artfynd.xlsx", "A 57251-2025")</f>
        <v/>
      </c>
      <c r="X13">
        <f>HYPERLINK("https://klasma.github.io/Logging_0488/kartor/A 57251-2025 karta.png", "A 57251-2025")</f>
        <v/>
      </c>
      <c r="Y13">
        <f>HYPERLINK("https://klasma.github.io/Logging_0488/kartor_geotiff/A 57251-2025 georefererad karta.tif", "A 57251-2025")</f>
        <v/>
      </c>
      <c r="AA13">
        <f>HYPERLINK("https://klasma.github.io/Logging_0488/klagomål/A 57251-2025 FSC-klagomål.docx", "A 57251-2025")</f>
        <v/>
      </c>
      <c r="AB13">
        <f>HYPERLINK("https://klasma.github.io/Logging_0488/klagomålsmail/A 57251-2025 FSC-klagomål mail.docx", "A 57251-2025")</f>
        <v/>
      </c>
      <c r="AC13">
        <f>HYPERLINK("https://klasma.github.io/Logging_0488/tillsyn/A 57251-2025 tillsynsbegäran.docx", "A 57251-2025")</f>
        <v/>
      </c>
      <c r="AD13">
        <f>HYPERLINK("https://klasma.github.io/Logging_0488/tillsynsmail/A 57251-2025 tillsynsbegäran mail.docx", "A 57251-2025")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46272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46272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46272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46272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46272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HYPERLINK("https://klasma.github.io/Logging_0488/artfynd/A 57004-2023 artfynd.xlsx", "A 57004-2023")</f>
        <v/>
      </c>
      <c r="X18">
        <f>HYPERLINK("https://klasma.github.io/Logging_0488/kartor/A 57004-2023 karta.png", "A 57004-2023")</f>
        <v/>
      </c>
      <c r="Y18">
        <f>HYPERLINK("https://klasma.github.io/Logging_0488/kartor_geotiff/A 57004-2023 georefererad karta.tif", "A 57004-2023")</f>
        <v/>
      </c>
      <c r="AA18">
        <f>HYPERLINK("https://klasma.github.io/Logging_0488/klagomål/A 57004-2023 FSC-klagomål.docx", "A 57004-2023")</f>
        <v/>
      </c>
      <c r="AB18">
        <f>HYPERLINK("https://klasma.github.io/Logging_0488/klagomålsmail/A 57004-2023 FSC-klagomål mail.docx", "A 57004-2023")</f>
        <v/>
      </c>
      <c r="AC18">
        <f>HYPERLINK("https://klasma.github.io/Logging_0488/tillsyn/A 57004-2023 tillsynsbegäran.docx", "A 57004-2023")</f>
        <v/>
      </c>
      <c r="AD18">
        <f>HYPERLINK("https://klasma.github.io/Logging_0488/tillsynsmail/A 57004-2023 tillsynsbegäran mail.docx", "A 57004-2023")</f>
        <v/>
      </c>
      <c r="AE18">
        <f>HYPERLINK("https://klasma.github.io/Logging_0488/fåglar/A 57004-2023 prioriterade fågelarter.docx", "A 57004-2023")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46272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46272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46272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46272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46272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46272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46272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46272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46272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46272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46272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44599</v>
      </c>
      <c r="E30" s="1" t="n">
        <v>46272</v>
      </c>
      <c r="F30" t="inlineStr">
        <is>
          <t>SÖDERMANLANDS LÄN</t>
        </is>
      </c>
      <c r="G30" t="inlineStr">
        <is>
          <t>TROSA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36710-2024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46272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46272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45933</v>
      </c>
      <c r="E33" s="1" t="n">
        <v>46272</v>
      </c>
      <c r="F33" t="inlineStr">
        <is>
          <t>SÖDERMANLANDS LÄN</t>
        </is>
      </c>
      <c r="G33" t="inlineStr">
        <is>
          <t>TROSA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46272</v>
      </c>
      <c r="F34" t="inlineStr">
        <is>
          <t>SÖDERMANLANDS LÄN</t>
        </is>
      </c>
      <c r="G34" t="inlineStr">
        <is>
          <t>TROSA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46272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46272</v>
      </c>
      <c r="F36" t="inlineStr">
        <is>
          <t>SÖDERMANLANDS LÄN</t>
        </is>
      </c>
      <c r="G36" t="inlineStr">
        <is>
          <t>TROSA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17600-2022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46272</v>
      </c>
      <c r="F37" t="inlineStr">
        <is>
          <t>SÖDERMANLANDS LÄN</t>
        </is>
      </c>
      <c r="G37" t="inlineStr">
        <is>
          <t>TROSA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46272</v>
      </c>
      <c r="F38" t="inlineStr">
        <is>
          <t>SÖDERMANLANDS LÄN</t>
        </is>
      </c>
      <c r="G38" t="inlineStr">
        <is>
          <t>TROSA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46041</v>
      </c>
      <c r="E39" s="1" t="n">
        <v>46272</v>
      </c>
      <c r="F39" t="inlineStr">
        <is>
          <t>SÖDERMANLANDS LÄN</t>
        </is>
      </c>
      <c r="G39" t="inlineStr">
        <is>
          <t>TROSA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46272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55257-2025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46272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46272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46272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46272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10393-2026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46077</v>
      </c>
      <c r="E45" s="1" t="n">
        <v>46272</v>
      </c>
      <c r="F45" t="inlineStr">
        <is>
          <t>SÖDERMANLANDS LÄN</t>
        </is>
      </c>
      <c r="G45" t="inlineStr">
        <is>
          <t>TROSA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46272</v>
      </c>
      <c r="F46" t="inlineStr">
        <is>
          <t>SÖDERMANLANDS LÄN</t>
        </is>
      </c>
      <c r="G46" t="inlineStr">
        <is>
          <t>TROSA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59222-2025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45988</v>
      </c>
      <c r="E47" s="1" t="n">
        <v>46272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11083-2026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46079</v>
      </c>
      <c r="E48" s="1" t="n">
        <v>46272</v>
      </c>
      <c r="F48" t="inlineStr">
        <is>
          <t>SÖDERMANLANDS LÄN</t>
        </is>
      </c>
      <c r="G48" t="inlineStr">
        <is>
          <t>TROSA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11039-2026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46079</v>
      </c>
      <c r="E49" s="1" t="n">
        <v>46272</v>
      </c>
      <c r="F49" t="inlineStr">
        <is>
          <t>SÖDERMANLANDS LÄN</t>
        </is>
      </c>
      <c r="G49" t="inlineStr">
        <is>
          <t>TROSA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11069-2026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46079</v>
      </c>
      <c r="E50" s="1" t="n">
        <v>46272</v>
      </c>
      <c r="F50" t="inlineStr">
        <is>
          <t>SÖDERMANLANDS LÄN</t>
        </is>
      </c>
      <c r="G50" t="inlineStr">
        <is>
          <t>TROSA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46090</v>
      </c>
      <c r="E51" s="1" t="n">
        <v>46272</v>
      </c>
      <c r="F51" t="inlineStr">
        <is>
          <t>SÖDERMANLANDS LÄN</t>
        </is>
      </c>
      <c r="G51" t="inlineStr">
        <is>
          <t>TROSA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36709-2024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45537</v>
      </c>
      <c r="E52" s="1" t="n">
        <v>46272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36711-2024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45537</v>
      </c>
      <c r="E53" s="1" t="n">
        <v>46272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46272</v>
      </c>
      <c r="F54" t="inlineStr">
        <is>
          <t>SÖDERMANLANDS LÄN</t>
        </is>
      </c>
      <c r="G54" t="inlineStr">
        <is>
          <t>TROSA</t>
        </is>
      </c>
      <c r="H54" t="inlineStr">
        <is>
          <t>Kommuner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46272</v>
      </c>
      <c r="F55" t="inlineStr">
        <is>
          <t>SÖDERMANLANDS LÄN</t>
        </is>
      </c>
      <c r="G55" t="inlineStr">
        <is>
          <t>TROSA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45527</v>
      </c>
      <c r="E56" s="1" t="n">
        <v>46272</v>
      </c>
      <c r="F56" t="inlineStr">
        <is>
          <t>SÖDERMANLANDS LÄN</t>
        </is>
      </c>
      <c r="G56" t="inlineStr">
        <is>
          <t>TROSA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20191-2026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46272</v>
      </c>
      <c r="F57" t="inlineStr">
        <is>
          <t>SÖDERMANLANDS LÄN</t>
        </is>
      </c>
      <c r="G57" t="inlineStr">
        <is>
          <t>TROSA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62474-2022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44916</v>
      </c>
      <c r="E58" s="1" t="n">
        <v>46272</v>
      </c>
      <c r="F58" t="inlineStr">
        <is>
          <t>SÖDERMANLANDS LÄN</t>
        </is>
      </c>
      <c r="G58" t="inlineStr">
        <is>
          <t>TROSA</t>
        </is>
      </c>
      <c r="H58" t="inlineStr">
        <is>
          <t>Övriga Aktiebolag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32213-2025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45835</v>
      </c>
      <c r="E59" s="1" t="n">
        <v>46272</v>
      </c>
      <c r="F59" t="inlineStr">
        <is>
          <t>SÖDERMANLANDS LÄN</t>
        </is>
      </c>
      <c r="G59" t="inlineStr">
        <is>
          <t>TROSA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13810-2023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45007</v>
      </c>
      <c r="E60" s="1" t="n">
        <v>46272</v>
      </c>
      <c r="F60" t="inlineStr">
        <is>
          <t>SÖDERMANLANDS LÄN</t>
        </is>
      </c>
      <c r="G60" t="inlineStr">
        <is>
          <t>TROSA</t>
        </is>
      </c>
      <c r="H60" t="inlineStr">
        <is>
          <t>Holmen skog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46272</v>
      </c>
      <c r="F61" t="inlineStr">
        <is>
          <t>SÖDERMANLANDS LÄN</t>
        </is>
      </c>
      <c r="G61" t="inlineStr">
        <is>
          <t>TROSA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46272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62473-2022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44916</v>
      </c>
      <c r="E63" s="1" t="n">
        <v>46272</v>
      </c>
      <c r="F63" t="inlineStr">
        <is>
          <t>SÖDERMANLANDS LÄN</t>
        </is>
      </c>
      <c r="G63" t="inlineStr">
        <is>
          <t>TROSA</t>
        </is>
      </c>
      <c r="H63" t="inlineStr">
        <is>
          <t>Övriga Aktiebolag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39827-2024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46272</v>
      </c>
      <c r="F64" t="inlineStr">
        <is>
          <t>SÖDERMANLANDS LÄN</t>
        </is>
      </c>
      <c r="G64" t="inlineStr">
        <is>
          <t>TROSA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46272</v>
      </c>
      <c r="F65" t="inlineStr">
        <is>
          <t>SÖDERMANLANDS LÄN</t>
        </is>
      </c>
      <c r="G65" t="inlineStr">
        <is>
          <t>TROSA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45344</v>
      </c>
      <c r="E66" s="1" t="n">
        <v>46272</v>
      </c>
      <c r="F66" t="inlineStr">
        <is>
          <t>SÖDERMANLANDS LÄN</t>
        </is>
      </c>
      <c r="G66" t="inlineStr">
        <is>
          <t>TROSA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10998-2024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45370</v>
      </c>
      <c r="E67" s="1" t="n">
        <v>46272</v>
      </c>
      <c r="F67" t="inlineStr">
        <is>
          <t>SÖDERMANLANDS LÄN</t>
        </is>
      </c>
      <c r="G67" t="inlineStr">
        <is>
          <t>TROSA</t>
        </is>
      </c>
      <c r="I67" t="n">
        <v>9.5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16029-2023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45027</v>
      </c>
      <c r="E68" s="1" t="n">
        <v>46272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46272</v>
      </c>
      <c r="F69" t="inlineStr">
        <is>
          <t>SÖDERMANLANDS LÄN</t>
        </is>
      </c>
      <c r="G69" t="inlineStr">
        <is>
          <t>TROSA</t>
        </is>
      </c>
      <c r="H69" t="inlineStr">
        <is>
          <t>Kommuner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46272</v>
      </c>
      <c r="F70" t="inlineStr">
        <is>
          <t>SÖDERMANLANDS LÄN</t>
        </is>
      </c>
      <c r="G70" t="inlineStr">
        <is>
          <t>TROSA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11103-2026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46079</v>
      </c>
      <c r="E71" s="1" t="n">
        <v>46272</v>
      </c>
      <c r="F71" t="inlineStr">
        <is>
          <t>SÖDERMANLANDS LÄN</t>
        </is>
      </c>
      <c r="G71" t="inlineStr">
        <is>
          <t>TROSA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46272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46272</v>
      </c>
      <c r="F73" t="inlineStr">
        <is>
          <t>SÖDERMANLANDS LÄN</t>
        </is>
      </c>
      <c r="G73" t="inlineStr">
        <is>
          <t>TROSA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46272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36712-2024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46272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46272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46272</v>
      </c>
      <c r="F77" t="inlineStr">
        <is>
          <t>SÖDERMANLANDS LÄN</t>
        </is>
      </c>
      <c r="G77" t="inlineStr">
        <is>
          <t>TROSA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46272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46272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46272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46272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2026-09-07T02:08:44Z</dcterms:created>
  <dcterms:modified xmlns:dcterms="http://purl.org/dc/terms/" xmlns:xsi="http://www.w3.org/2001/XMLSchema-instance" xsi:type="dcterms:W3CDTF">2026-09-07T02:08:44Z</dcterms:modified>
</cp:coreProperties>
</file>