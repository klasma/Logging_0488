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46248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46248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46248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46248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46248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46248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46248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46248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46248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46248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46248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11123-2023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44986</v>
      </c>
      <c r="E13" s="1" t="n">
        <v>46248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statliga verk och myndigheter</t>
        </is>
      </c>
      <c r="I13" t="n">
        <v>9.4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HYPERLINK("https://klasma.github.io/Logging_0488/artfynd/A 11123-2023 artfynd.xlsx", "A 11123-2023")</f>
        <v/>
      </c>
      <c r="X13">
        <f>HYPERLINK("https://klasma.github.io/Logging_0488/kartor/A 11123-2023 karta.png", "A 11123-2023")</f>
        <v/>
      </c>
      <c r="Y13">
        <f>HYPERLINK("https://klasma.github.io/Logging_0488/kartor_geotiff/A 11123-2023 georefererad karta.tif", "A 11123-2023")</f>
        <v/>
      </c>
      <c r="AA13">
        <f>HYPERLINK("https://klasma.github.io/Logging_0488/klagomål/A 11123-2023 FSC-klagomål.docx", "A 11123-2023")</f>
        <v/>
      </c>
      <c r="AB13">
        <f>HYPERLINK("https://klasma.github.io/Logging_0488/klagomålsmail/A 11123-2023 FSC-klagomål mail.docx", "A 11123-2023")</f>
        <v/>
      </c>
      <c r="AC13">
        <f>HYPERLINK("https://klasma.github.io/Logging_0488/tillsyn/A 11123-2023 tillsynsbegäran.docx", "A 11123-2023")</f>
        <v/>
      </c>
      <c r="AD13">
        <f>HYPERLINK("https://klasma.github.io/Logging_0488/tillsynsmail/A 11123-2023 tillsynsbegäran mail.docx", "A 11123-2023")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46248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11066-2024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45370</v>
      </c>
      <c r="E15" s="1" t="n">
        <v>46248</v>
      </c>
      <c r="F15" t="inlineStr">
        <is>
          <t>SÖDERMANLANDS LÄN</t>
        </is>
      </c>
      <c r="G15" t="inlineStr">
        <is>
          <t>TROSA</t>
        </is>
      </c>
      <c r="I15" t="n">
        <v>2.3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Nötkråka</t>
        </is>
      </c>
      <c r="W15">
        <f>HYPERLINK("https://klasma.github.io/Logging_0488/artfynd/A 11066-2024 artfynd.xlsx", "A 11066-2024")</f>
        <v/>
      </c>
      <c r="X15">
        <f>HYPERLINK("https://klasma.github.io/Logging_0488/kartor/A 11066-2024 karta.png", "A 11066-2024")</f>
        <v/>
      </c>
      <c r="Y15">
        <f>HYPERLINK("https://klasma.github.io/Logging_0488/kartor_geotiff/A 11066-2024 georefererad karta.tif", "A 11066-2024")</f>
        <v/>
      </c>
      <c r="AA15">
        <f>HYPERLINK("https://klasma.github.io/Logging_0488/klagomål/A 11066-2024 FSC-klagomål.docx", "A 11066-2024")</f>
        <v/>
      </c>
      <c r="AB15">
        <f>HYPERLINK("https://klasma.github.io/Logging_0488/klagomålsmail/A 11066-2024 FSC-klagomål mail.docx", "A 11066-2024")</f>
        <v/>
      </c>
      <c r="AC15">
        <f>HYPERLINK("https://klasma.github.io/Logging_0488/tillsyn/A 11066-2024 tillsynsbegäran.docx", "A 11066-2024")</f>
        <v/>
      </c>
      <c r="AD15">
        <f>HYPERLINK("https://klasma.github.io/Logging_0488/tillsynsmail/A 11066-2024 tillsynsbegäran mail.docx", "A 11066-2024")</f>
        <v/>
      </c>
      <c r="AE15">
        <f>HYPERLINK("https://klasma.github.io/Logging_0488/fåglar/A 11066-2024 prioriterade fågelarter.docx", "A 11066-2024")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46248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46248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57251-2025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46248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Aktiebolag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Flattoppad klubbsvamp</t>
        </is>
      </c>
      <c r="W18">
        <f>HYPERLINK("https://klasma.github.io/Logging_0488/artfynd/A 57251-2025 artfynd.xlsx", "A 57251-2025")</f>
        <v/>
      </c>
      <c r="X18">
        <f>HYPERLINK("https://klasma.github.io/Logging_0488/kartor/A 57251-2025 karta.png", "A 57251-2025")</f>
        <v/>
      </c>
      <c r="Y18">
        <f>HYPERLINK("https://klasma.github.io/Logging_0488/kartor_geotiff/A 57251-2025 georefererad karta.tif", "A 57251-2025")</f>
        <v/>
      </c>
      <c r="AA18">
        <f>HYPERLINK("https://klasma.github.io/Logging_0488/klagomål/A 57251-2025 FSC-klagomål.docx", "A 57251-2025")</f>
        <v/>
      </c>
      <c r="AB18">
        <f>HYPERLINK("https://klasma.github.io/Logging_0488/klagomålsmail/A 57251-2025 FSC-klagomål mail.docx", "A 57251-2025")</f>
        <v/>
      </c>
      <c r="AC18">
        <f>HYPERLINK("https://klasma.github.io/Logging_0488/tillsyn/A 57251-2025 tillsynsbegäran.docx", "A 57251-2025")</f>
        <v/>
      </c>
      <c r="AD18">
        <f>HYPERLINK("https://klasma.github.io/Logging_0488/tillsynsmail/A 57251-2025 tillsynsbegäran mail.docx", "A 57251-2025")</f>
        <v/>
      </c>
    </row>
    <row r="19" ht="15" customHeight="1">
      <c r="A19" t="inlineStr">
        <is>
          <t>A 10390-2026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46077</v>
      </c>
      <c r="E19" s="1" t="n">
        <v>46248</v>
      </c>
      <c r="F19" t="inlineStr">
        <is>
          <t>SÖDERMANLANDS LÄN</t>
        </is>
      </c>
      <c r="G19" t="inlineStr">
        <is>
          <t>TROSA</t>
        </is>
      </c>
      <c r="I19" t="n">
        <v>0.6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HYPERLINK("https://klasma.github.io/Logging_0488/artfynd/A 10390-2026 artfynd.xlsx", "A 10390-2026")</f>
        <v/>
      </c>
      <c r="X19">
        <f>HYPERLINK("https://klasma.github.io/Logging_0488/kartor/A 10390-2026 karta.png", "A 10390-2026")</f>
        <v/>
      </c>
      <c r="Y19">
        <f>HYPERLINK("https://klasma.github.io/Logging_0488/kartor_geotiff/A 10390-2026 georefererad karta.tif", "A 10390-2026")</f>
        <v/>
      </c>
      <c r="AA19">
        <f>HYPERLINK("https://klasma.github.io/Logging_0488/klagomål/A 10390-2026 FSC-klagomål.docx", "A 10390-2026")</f>
        <v/>
      </c>
      <c r="AB19">
        <f>HYPERLINK("https://klasma.github.io/Logging_0488/klagomålsmail/A 10390-2026 FSC-klagomål mail.docx", "A 10390-2026")</f>
        <v/>
      </c>
      <c r="AC19">
        <f>HYPERLINK("https://klasma.github.io/Logging_0488/tillsyn/A 10390-2026 tillsynsbegäran.docx", "A 10390-2026")</f>
        <v/>
      </c>
      <c r="AD19">
        <f>HYPERLINK("https://klasma.github.io/Logging_0488/tillsynsmail/A 10390-2026 tillsynsbegäran mail.docx", "A 10390-2026")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46248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46248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46248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56315-2021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44480</v>
      </c>
      <c r="E23" s="1" t="n">
        <v>46248</v>
      </c>
      <c r="F23" t="inlineStr">
        <is>
          <t>SÖDERMANLANDS LÄN</t>
        </is>
      </c>
      <c r="G23" t="inlineStr">
        <is>
          <t>TROSA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63049-2021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46248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46248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46248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58922-2021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46248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46248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46248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46248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46248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39827-2024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45553</v>
      </c>
      <c r="E32" s="1" t="n">
        <v>46248</v>
      </c>
      <c r="F32" t="inlineStr">
        <is>
          <t>SÖDERMANLANDS LÄN</t>
        </is>
      </c>
      <c r="G32" t="inlineStr">
        <is>
          <t>TROSA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46248</v>
      </c>
      <c r="F33" t="inlineStr">
        <is>
          <t>SÖDERMANLANDS LÄN</t>
        </is>
      </c>
      <c r="G33" t="inlineStr">
        <is>
          <t>TROSA</t>
        </is>
      </c>
      <c r="I33" t="n">
        <v>7.1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46248</v>
      </c>
      <c r="F34" t="inlineStr">
        <is>
          <t>SÖDERMANLANDS LÄN</t>
        </is>
      </c>
      <c r="G34" t="inlineStr">
        <is>
          <t>TROSA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45344</v>
      </c>
      <c r="E35" s="1" t="n">
        <v>46248</v>
      </c>
      <c r="F35" t="inlineStr">
        <is>
          <t>SÖDERMANLANDS LÄN</t>
        </is>
      </c>
      <c r="G35" t="inlineStr">
        <is>
          <t>TROSA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45370</v>
      </c>
      <c r="E36" s="1" t="n">
        <v>46248</v>
      </c>
      <c r="F36" t="inlineStr">
        <is>
          <t>SÖDERMANLANDS LÄN</t>
        </is>
      </c>
      <c r="G36" t="inlineStr">
        <is>
          <t>TROSA</t>
        </is>
      </c>
      <c r="I36" t="n">
        <v>9.5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46248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45537</v>
      </c>
      <c r="E38" s="1" t="n">
        <v>46248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36711-2024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46248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46248</v>
      </c>
      <c r="F40" t="inlineStr">
        <is>
          <t>SÖDERMANLANDS LÄN</t>
        </is>
      </c>
      <c r="G40" t="inlineStr">
        <is>
          <t>TROSA</t>
        </is>
      </c>
      <c r="H40" t="inlineStr">
        <is>
          <t>Kommuner</t>
        </is>
      </c>
      <c r="I40" t="n">
        <v>8.199999999999999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11743-2024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46248</v>
      </c>
      <c r="F41" t="inlineStr">
        <is>
          <t>SÖDERMANLANDS LÄN</t>
        </is>
      </c>
      <c r="G41" t="inlineStr">
        <is>
          <t>TROSA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36710-2024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45537</v>
      </c>
      <c r="E42" s="1" t="n">
        <v>46248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46248</v>
      </c>
      <c r="F43" t="inlineStr">
        <is>
          <t>SÖDERMANLANDS LÄN</t>
        </is>
      </c>
      <c r="G43" t="inlineStr">
        <is>
          <t>TROSA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29930-2022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44756</v>
      </c>
      <c r="E44" s="1" t="n">
        <v>46248</v>
      </c>
      <c r="F44" t="inlineStr">
        <is>
          <t>SÖDERMANLANDS LÄN</t>
        </is>
      </c>
      <c r="G44" t="inlineStr">
        <is>
          <t>TROSA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46248</v>
      </c>
      <c r="F45" t="inlineStr">
        <is>
          <t>SÖDERMANLANDS LÄN</t>
        </is>
      </c>
      <c r="G45" t="inlineStr">
        <is>
          <t>TROSA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46248</v>
      </c>
      <c r="F46" t="inlineStr">
        <is>
          <t>SÖDERMANLANDS LÄN</t>
        </is>
      </c>
      <c r="G46" t="inlineStr">
        <is>
          <t>TROSA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46248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12447-2024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45379</v>
      </c>
      <c r="E48" s="1" t="n">
        <v>46248</v>
      </c>
      <c r="F48" t="inlineStr">
        <is>
          <t>SÖDERMANLANDS LÄN</t>
        </is>
      </c>
      <c r="G48" t="inlineStr">
        <is>
          <t>TROSA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44916</v>
      </c>
      <c r="E49" s="1" t="n">
        <v>46248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45736</v>
      </c>
      <c r="E50" s="1" t="n">
        <v>46248</v>
      </c>
      <c r="F50" t="inlineStr">
        <is>
          <t>SÖDERMANLANDS LÄN</t>
        </is>
      </c>
      <c r="G50" t="inlineStr">
        <is>
          <t>TROSA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44680</v>
      </c>
      <c r="E51" s="1" t="n">
        <v>46248</v>
      </c>
      <c r="F51" t="inlineStr">
        <is>
          <t>SÖDERMANLANDS LÄN</t>
        </is>
      </c>
      <c r="G51" t="inlineStr">
        <is>
          <t>TROSA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45280</v>
      </c>
      <c r="E52" s="1" t="n">
        <v>46248</v>
      </c>
      <c r="F52" t="inlineStr">
        <is>
          <t>SÖDERMANLANDS LÄN</t>
        </is>
      </c>
      <c r="G52" t="inlineStr">
        <is>
          <t>TROSA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46248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46248</v>
      </c>
      <c r="F54" t="inlineStr">
        <is>
          <t>SÖDERMANLANDS LÄN</t>
        </is>
      </c>
      <c r="G54" t="inlineStr">
        <is>
          <t>TROSA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46248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45832</v>
      </c>
      <c r="E56" s="1" t="n">
        <v>46248</v>
      </c>
      <c r="F56" t="inlineStr">
        <is>
          <t>SÖDERMANLANDS LÄN</t>
        </is>
      </c>
      <c r="G56" t="inlineStr">
        <is>
          <t>TROSA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36712-2024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45537</v>
      </c>
      <c r="E57" s="1" t="n">
        <v>46248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46248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46248</v>
      </c>
      <c r="F59" t="inlineStr">
        <is>
          <t>SÖDERMANLANDS LÄN</t>
        </is>
      </c>
      <c r="G59" t="inlineStr">
        <is>
          <t>TROSA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48793-2024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45593</v>
      </c>
      <c r="E60" s="1" t="n">
        <v>46248</v>
      </c>
      <c r="F60" t="inlineStr">
        <is>
          <t>SÖDERMANLANDS LÄN</t>
        </is>
      </c>
      <c r="G60" t="inlineStr">
        <is>
          <t>TROSA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46248</v>
      </c>
      <c r="F61" t="inlineStr">
        <is>
          <t>SÖDERMANLANDS LÄN</t>
        </is>
      </c>
      <c r="G61" t="inlineStr">
        <is>
          <t>TROSA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45527</v>
      </c>
      <c r="E62" s="1" t="n">
        <v>46248</v>
      </c>
      <c r="F62" t="inlineStr">
        <is>
          <t>SÖDERMANLANDS LÄN</t>
        </is>
      </c>
      <c r="G62" t="inlineStr">
        <is>
          <t>TROSA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45933</v>
      </c>
      <c r="E63" s="1" t="n">
        <v>46248</v>
      </c>
      <c r="F63" t="inlineStr">
        <is>
          <t>SÖDERMANLANDS LÄN</t>
        </is>
      </c>
      <c r="G63" t="inlineStr">
        <is>
          <t>TROSA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46248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45968</v>
      </c>
      <c r="E65" s="1" t="n">
        <v>46248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57342-2025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46248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46248</v>
      </c>
      <c r="F67" t="inlineStr">
        <is>
          <t>SÖDERMANLANDS LÄN</t>
        </is>
      </c>
      <c r="G67" t="inlineStr">
        <is>
          <t>TROSA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57344-2025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45979</v>
      </c>
      <c r="E68" s="1" t="n">
        <v>46248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46248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46248</v>
      </c>
      <c r="F70" t="inlineStr">
        <is>
          <t>SÖDERMANLANDS LÄN</t>
        </is>
      </c>
      <c r="G70" t="inlineStr">
        <is>
          <t>TROSA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46248</v>
      </c>
      <c r="F71" t="inlineStr">
        <is>
          <t>SÖDERMANLANDS LÄN</t>
        </is>
      </c>
      <c r="G71" t="inlineStr">
        <is>
          <t>TROSA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10393-2026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46077</v>
      </c>
      <c r="E72" s="1" t="n">
        <v>46248</v>
      </c>
      <c r="F72" t="inlineStr">
        <is>
          <t>SÖDERMANLANDS LÄN</t>
        </is>
      </c>
      <c r="G72" t="inlineStr">
        <is>
          <t>TROSA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46079</v>
      </c>
      <c r="E73" s="1" t="n">
        <v>46248</v>
      </c>
      <c r="F73" t="inlineStr">
        <is>
          <t>SÖDERMANLANDS LÄN</t>
        </is>
      </c>
      <c r="G73" t="inlineStr">
        <is>
          <t>TROSA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11083-2026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46079</v>
      </c>
      <c r="E74" s="1" t="n">
        <v>46248</v>
      </c>
      <c r="F74" t="inlineStr">
        <is>
          <t>SÖDERMANLANDS LÄN</t>
        </is>
      </c>
      <c r="G74" t="inlineStr">
        <is>
          <t>TROSA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11039-2026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46079</v>
      </c>
      <c r="E75" s="1" t="n">
        <v>46248</v>
      </c>
      <c r="F75" t="inlineStr">
        <is>
          <t>SÖDERMANLANDS LÄN</t>
        </is>
      </c>
      <c r="G75" t="inlineStr">
        <is>
          <t>TROSA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11069-2026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46079</v>
      </c>
      <c r="E76" s="1" t="n">
        <v>46248</v>
      </c>
      <c r="F76" t="inlineStr">
        <is>
          <t>SÖDERMANLANDS LÄN</t>
        </is>
      </c>
      <c r="G76" t="inlineStr">
        <is>
          <t>TROSA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46090</v>
      </c>
      <c r="E77" s="1" t="n">
        <v>46248</v>
      </c>
      <c r="F77" t="inlineStr">
        <is>
          <t>SÖDERMANLANDS LÄN</t>
        </is>
      </c>
      <c r="G77" t="inlineStr">
        <is>
          <t>TROSA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20191-2026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46139</v>
      </c>
      <c r="E78" s="1" t="n">
        <v>46248</v>
      </c>
      <c r="F78" t="inlineStr">
        <is>
          <t>SÖDERMANLANDS LÄN</t>
        </is>
      </c>
      <c r="G78" t="inlineStr">
        <is>
          <t>TROSA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32213-2025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46248</v>
      </c>
      <c r="F79" t="inlineStr">
        <is>
          <t>SÖDERMANLANDS LÄN</t>
        </is>
      </c>
      <c r="G79" t="inlineStr">
        <is>
          <t>TROSA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46248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46248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2026-08-14T01:57:10Z</dcterms:created>
  <dcterms:modified xmlns:dcterms="http://purl.org/dc/terms/" xmlns:xsi="http://www.w3.org/2001/XMLSchema-instance" xsi:type="dcterms:W3CDTF">2026-08-14T01:57:10Z</dcterms:modified>
</cp:coreProperties>
</file>