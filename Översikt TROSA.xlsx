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45688</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45688</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45688</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38880-2020</t>
        </is>
      </c>
      <c r="B5" s="1" t="n">
        <v>44062</v>
      </c>
      <c r="C5" s="1" t="n">
        <v>45688</v>
      </c>
      <c r="D5" t="inlineStr">
        <is>
          <t>SÖDERMANLANDS LÄN</t>
        </is>
      </c>
      <c r="E5" t="inlineStr">
        <is>
          <t>TROSA</t>
        </is>
      </c>
      <c r="G5" t="n">
        <v>8.9</v>
      </c>
      <c r="H5" t="n">
        <v>4</v>
      </c>
      <c r="I5" t="n">
        <v>0</v>
      </c>
      <c r="J5" t="n">
        <v>0</v>
      </c>
      <c r="K5" t="n">
        <v>1</v>
      </c>
      <c r="L5" t="n">
        <v>0</v>
      </c>
      <c r="M5" t="n">
        <v>0</v>
      </c>
      <c r="N5" t="n">
        <v>0</v>
      </c>
      <c r="O5" t="n">
        <v>1</v>
      </c>
      <c r="P5" t="n">
        <v>1</v>
      </c>
      <c r="Q5" t="n">
        <v>4</v>
      </c>
      <c r="R5" s="2" t="inlineStr">
        <is>
          <t>Kricka
Åkergroda
Mindre vattensalamander
Vanlig padda</t>
        </is>
      </c>
      <c r="S5">
        <f>HYPERLINK("https://klasma.github.io/Logging_0488/artfynd/A 38880-2020 artfynd.xlsx", "A 38880-2020")</f>
        <v/>
      </c>
      <c r="T5">
        <f>HYPERLINK("https://klasma.github.io/Logging_0488/kartor/A 38880-2020 karta.png", "A 38880-2020")</f>
        <v/>
      </c>
      <c r="V5">
        <f>HYPERLINK("https://klasma.github.io/Logging_0488/klagomål/A 38880-2020 FSC-klagomål.docx", "A 38880-2020")</f>
        <v/>
      </c>
      <c r="W5">
        <f>HYPERLINK("https://klasma.github.io/Logging_0488/klagomålsmail/A 38880-2020 FSC-klagomål mail.docx", "A 38880-2020")</f>
        <v/>
      </c>
      <c r="X5">
        <f>HYPERLINK("https://klasma.github.io/Logging_0488/tillsyn/A 38880-2020 tillsynsbegäran.docx", "A 38880-2020")</f>
        <v/>
      </c>
      <c r="Y5">
        <f>HYPERLINK("https://klasma.github.io/Logging_0488/tillsynsmail/A 38880-2020 tillsynsbegäran mail.docx", "A 38880-2020")</f>
        <v/>
      </c>
      <c r="Z5">
        <f>HYPERLINK("https://klasma.github.io/Logging_0488/fåglar/A 38880-2020 prioriterade fågelarter.docx", "A 38880-2020")</f>
        <v/>
      </c>
    </row>
    <row r="6" ht="15" customHeight="1">
      <c r="A6" t="inlineStr">
        <is>
          <t>A 45296-2020</t>
        </is>
      </c>
      <c r="B6" s="1" t="n">
        <v>44088</v>
      </c>
      <c r="C6" s="1" t="n">
        <v>45688</v>
      </c>
      <c r="D6" t="inlineStr">
        <is>
          <t>SÖDERMANLANDS LÄN</t>
        </is>
      </c>
      <c r="E6" t="inlineStr">
        <is>
          <t>TROSA</t>
        </is>
      </c>
      <c r="G6" t="n">
        <v>49.6</v>
      </c>
      <c r="H6" t="n">
        <v>3</v>
      </c>
      <c r="I6" t="n">
        <v>0</v>
      </c>
      <c r="J6" t="n">
        <v>2</v>
      </c>
      <c r="K6" t="n">
        <v>2</v>
      </c>
      <c r="L6" t="n">
        <v>0</v>
      </c>
      <c r="M6" t="n">
        <v>0</v>
      </c>
      <c r="N6" t="n">
        <v>0</v>
      </c>
      <c r="O6" t="n">
        <v>4</v>
      </c>
      <c r="P6" t="n">
        <v>2</v>
      </c>
      <c r="Q6" t="n">
        <v>4</v>
      </c>
      <c r="R6" s="2" t="inlineStr">
        <is>
          <t>Kricka
Tofsvipa
Rödvingetrast
Svedjenäva</t>
        </is>
      </c>
      <c r="S6">
        <f>HYPERLINK("https://klasma.github.io/Logging_0488/artfynd/A 45296-2020 artfynd.xlsx", "A 45296-2020")</f>
        <v/>
      </c>
      <c r="T6">
        <f>HYPERLINK("https://klasma.github.io/Logging_0488/kartor/A 45296-2020 karta.png", "A 45296-2020")</f>
        <v/>
      </c>
      <c r="V6">
        <f>HYPERLINK("https://klasma.github.io/Logging_0488/klagomål/A 45296-2020 FSC-klagomål.docx", "A 45296-2020")</f>
        <v/>
      </c>
      <c r="W6">
        <f>HYPERLINK("https://klasma.github.io/Logging_0488/klagomålsmail/A 45296-2020 FSC-klagomål mail.docx", "A 45296-2020")</f>
        <v/>
      </c>
      <c r="X6">
        <f>HYPERLINK("https://klasma.github.io/Logging_0488/tillsyn/A 45296-2020 tillsynsbegäran.docx", "A 45296-2020")</f>
        <v/>
      </c>
      <c r="Y6">
        <f>HYPERLINK("https://klasma.github.io/Logging_0488/tillsynsmail/A 45296-2020 tillsynsbegäran mail.docx", "A 45296-2020")</f>
        <v/>
      </c>
      <c r="Z6">
        <f>HYPERLINK("https://klasma.github.io/Logging_0488/fåglar/A 45296-2020 prioriterade fågelarter.docx", "A 45296-2020")</f>
        <v/>
      </c>
    </row>
    <row r="7" ht="15" customHeight="1">
      <c r="A7" t="inlineStr">
        <is>
          <t>A 41919-2019</t>
        </is>
      </c>
      <c r="B7" s="1" t="n">
        <v>43700</v>
      </c>
      <c r="C7" s="1" t="n">
        <v>45688</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45688</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45688</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45688</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45688</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45688</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45688</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45688</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45688</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45688</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45688</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45688</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45688</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45688</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45688</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45688</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45688</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45688</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45688</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45688</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45688</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45688</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45688</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45688</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45688</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45688</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45688</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45688</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45688</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45688</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45688</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45688</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45688</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45688</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45688</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45688</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45688</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45688</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45688</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45688</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45688</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45688</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45688</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45688</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45688</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45688</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45688</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45688</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45688</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45688</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45688</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45688</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45688</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45688</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45688</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45688</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45688</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45688</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45688</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45688</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45688</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45688</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45688</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45688</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45688</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45688</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45688</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45688</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45688</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45688</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45688</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45688</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45688</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45688</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45688</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45688</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45688</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45688</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45688</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45688</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45688</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45688</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45688</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45688</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45688</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45688</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45688</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45688</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45688</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45688</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45688</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45688</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45688</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45688</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45688</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45688</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45688</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45688</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45688</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45688</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45688</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45688</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45688</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45688</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45688</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45688</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45688</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45688</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45688</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45688</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45688</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45688</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45688</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45688</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45688</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45688</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45688</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45688</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45688</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45688</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45688</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45688</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45688</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45688</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45688</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45688</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45688</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45688</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45688</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45688</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45688</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45688</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45688</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45688</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45688</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45688</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45688</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45688</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45688</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45688</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45688</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45688</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45688</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45688</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45688</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45688</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45688</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45688</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45688</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45688</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45688</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45688</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45688</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45688</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45688</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45688</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45688</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45688</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45688</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45688</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45688</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45688</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45688</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45688</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45688</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45688</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45688</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2025-01-31T22:00:51Z</dcterms:created>
  <dcterms:modified xmlns:dcterms="http://purl.org/dc/terms/" xmlns:xsi="http://www.w3.org/2001/XMLSchema-instance" xsi:type="dcterms:W3CDTF">2025-01-31T22:00:51Z</dcterms:modified>
</cp:coreProperties>
</file>