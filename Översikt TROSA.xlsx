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45750</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45750</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45750</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45750</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45750</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2699-2023</t>
        </is>
      </c>
      <c r="B7" s="1" t="n">
        <v>44944</v>
      </c>
      <c r="C7" s="1" t="n">
        <v>45750</v>
      </c>
      <c r="D7" t="inlineStr">
        <is>
          <t>SÖDERMANLANDS LÄN</t>
        </is>
      </c>
      <c r="E7" t="inlineStr">
        <is>
          <t>TROSA</t>
        </is>
      </c>
      <c r="G7" t="n">
        <v>4.7</v>
      </c>
      <c r="H7" t="n">
        <v>1</v>
      </c>
      <c r="I7" t="n">
        <v>1</v>
      </c>
      <c r="J7" t="n">
        <v>1</v>
      </c>
      <c r="K7" t="n">
        <v>0</v>
      </c>
      <c r="L7" t="n">
        <v>0</v>
      </c>
      <c r="M7" t="n">
        <v>0</v>
      </c>
      <c r="N7" t="n">
        <v>0</v>
      </c>
      <c r="O7" t="n">
        <v>1</v>
      </c>
      <c r="P7" t="n">
        <v>0</v>
      </c>
      <c r="Q7" t="n">
        <v>3</v>
      </c>
      <c r="R7" s="2" t="inlineStr">
        <is>
          <t>Granticka
Svart trolldruva
Trana</t>
        </is>
      </c>
      <c r="S7">
        <f>HYPERLINK("https://klasma.github.io/Logging_0488/artfynd/A 2699-2023 artfynd.xlsx", "A 2699-2023")</f>
        <v/>
      </c>
      <c r="T7">
        <f>HYPERLINK("https://klasma.github.io/Logging_0488/kartor/A 2699-2023 karta.png", "A 2699-2023")</f>
        <v/>
      </c>
      <c r="V7">
        <f>HYPERLINK("https://klasma.github.io/Logging_0488/klagomål/A 2699-2023 FSC-klagomål.docx", "A 2699-2023")</f>
        <v/>
      </c>
      <c r="W7">
        <f>HYPERLINK("https://klasma.github.io/Logging_0488/klagomålsmail/A 2699-2023 FSC-klagomål mail.docx", "A 2699-2023")</f>
        <v/>
      </c>
      <c r="X7">
        <f>HYPERLINK("https://klasma.github.io/Logging_0488/tillsyn/A 2699-2023 tillsynsbegäran.docx", "A 2699-2023")</f>
        <v/>
      </c>
      <c r="Y7">
        <f>HYPERLINK("https://klasma.github.io/Logging_0488/tillsynsmail/A 2699-2023 tillsynsbegäran mail.docx", "A 2699-2023")</f>
        <v/>
      </c>
      <c r="Z7">
        <f>HYPERLINK("https://klasma.github.io/Logging_0488/fåglar/A 2699-2023 prioriterade fågelarter.docx", "A 2699-2023")</f>
        <v/>
      </c>
    </row>
    <row r="8" ht="15" customHeight="1">
      <c r="A8" t="inlineStr">
        <is>
          <t>A 41919-2019</t>
        </is>
      </c>
      <c r="B8" s="1" t="n">
        <v>43700</v>
      </c>
      <c r="C8" s="1" t="n">
        <v>45750</v>
      </c>
      <c r="D8" t="inlineStr">
        <is>
          <t>SÖDERMANLANDS LÄN</t>
        </is>
      </c>
      <c r="E8" t="inlineStr">
        <is>
          <t>TROSA</t>
        </is>
      </c>
      <c r="F8" t="inlineStr">
        <is>
          <t>Övriga Aktiebolag</t>
        </is>
      </c>
      <c r="G8" t="n">
        <v>6.8</v>
      </c>
      <c r="H8" t="n">
        <v>2</v>
      </c>
      <c r="I8" t="n">
        <v>0</v>
      </c>
      <c r="J8" t="n">
        <v>1</v>
      </c>
      <c r="K8" t="n">
        <v>1</v>
      </c>
      <c r="L8" t="n">
        <v>0</v>
      </c>
      <c r="M8" t="n">
        <v>0</v>
      </c>
      <c r="N8" t="n">
        <v>0</v>
      </c>
      <c r="O8" t="n">
        <v>2</v>
      </c>
      <c r="P8" t="n">
        <v>1</v>
      </c>
      <c r="Q8" t="n">
        <v>2</v>
      </c>
      <c r="R8" s="2" t="inlineStr">
        <is>
          <t>Knärot
Spillkråka</t>
        </is>
      </c>
      <c r="S8">
        <f>HYPERLINK("https://klasma.github.io/Logging_0488/artfynd/A 41919-2019 artfynd.xlsx", "A 41919-2019")</f>
        <v/>
      </c>
      <c r="T8">
        <f>HYPERLINK("https://klasma.github.io/Logging_0488/kartor/A 41919-2019 karta.png", "A 41919-2019")</f>
        <v/>
      </c>
      <c r="U8">
        <f>HYPERLINK("https://klasma.github.io/Logging_0488/knärot/A 41919-2019 karta knärot.png", "A 41919-2019")</f>
        <v/>
      </c>
      <c r="V8">
        <f>HYPERLINK("https://klasma.github.io/Logging_0488/klagomål/A 41919-2019 FSC-klagomål.docx", "A 41919-2019")</f>
        <v/>
      </c>
      <c r="W8">
        <f>HYPERLINK("https://klasma.github.io/Logging_0488/klagomålsmail/A 41919-2019 FSC-klagomål mail.docx", "A 41919-2019")</f>
        <v/>
      </c>
      <c r="X8">
        <f>HYPERLINK("https://klasma.github.io/Logging_0488/tillsyn/A 41919-2019 tillsynsbegäran.docx", "A 41919-2019")</f>
        <v/>
      </c>
      <c r="Y8">
        <f>HYPERLINK("https://klasma.github.io/Logging_0488/tillsynsmail/A 41919-2019 tillsynsbegäran mail.docx", "A 41919-2019")</f>
        <v/>
      </c>
      <c r="Z8">
        <f>HYPERLINK("https://klasma.github.io/Logging_0488/fåglar/A 41919-2019 prioriterade fågelarter.docx", "A 41919-2019")</f>
        <v/>
      </c>
    </row>
    <row r="9" ht="15" customHeight="1">
      <c r="A9" t="inlineStr">
        <is>
          <t>A 60748-2019</t>
        </is>
      </c>
      <c r="B9" s="1" t="n">
        <v>43781</v>
      </c>
      <c r="C9" s="1" t="n">
        <v>45750</v>
      </c>
      <c r="D9" t="inlineStr">
        <is>
          <t>SÖDERMANLANDS LÄN</t>
        </is>
      </c>
      <c r="E9" t="inlineStr">
        <is>
          <t>TROSA</t>
        </is>
      </c>
      <c r="G9" t="n">
        <v>6.2</v>
      </c>
      <c r="H9" t="n">
        <v>0</v>
      </c>
      <c r="I9" t="n">
        <v>0</v>
      </c>
      <c r="J9" t="n">
        <v>1</v>
      </c>
      <c r="K9" t="n">
        <v>0</v>
      </c>
      <c r="L9" t="n">
        <v>1</v>
      </c>
      <c r="M9" t="n">
        <v>0</v>
      </c>
      <c r="N9" t="n">
        <v>0</v>
      </c>
      <c r="O9" t="n">
        <v>2</v>
      </c>
      <c r="P9" t="n">
        <v>1</v>
      </c>
      <c r="Q9" t="n">
        <v>2</v>
      </c>
      <c r="R9" s="2" t="inlineStr">
        <is>
          <t>Fältgentiana
Gullklöver</t>
        </is>
      </c>
      <c r="S9">
        <f>HYPERLINK("https://klasma.github.io/Logging_0488/artfynd/A 60748-2019 artfynd.xlsx", "A 60748-2019")</f>
        <v/>
      </c>
      <c r="T9">
        <f>HYPERLINK("https://klasma.github.io/Logging_0488/kartor/A 60748-2019 karta.png", "A 60748-2019")</f>
        <v/>
      </c>
      <c r="V9">
        <f>HYPERLINK("https://klasma.github.io/Logging_0488/klagomål/A 60748-2019 FSC-klagomål.docx", "A 60748-2019")</f>
        <v/>
      </c>
      <c r="W9">
        <f>HYPERLINK("https://klasma.github.io/Logging_0488/klagomålsmail/A 60748-2019 FSC-klagomål mail.docx", "A 60748-2019")</f>
        <v/>
      </c>
      <c r="X9">
        <f>HYPERLINK("https://klasma.github.io/Logging_0488/tillsyn/A 60748-2019 tillsynsbegäran.docx", "A 60748-2019")</f>
        <v/>
      </c>
      <c r="Y9">
        <f>HYPERLINK("https://klasma.github.io/Logging_0488/tillsynsmail/A 60748-2019 tillsynsbegäran mail.docx", "A 60748-2019")</f>
        <v/>
      </c>
    </row>
    <row r="10" ht="15" customHeight="1">
      <c r="A10" t="inlineStr">
        <is>
          <t>A 21940-2020</t>
        </is>
      </c>
      <c r="B10" s="1" t="n">
        <v>43958</v>
      </c>
      <c r="C10" s="1" t="n">
        <v>45750</v>
      </c>
      <c r="D10" t="inlineStr">
        <is>
          <t>SÖDERMANLANDS LÄN</t>
        </is>
      </c>
      <c r="E10" t="inlineStr">
        <is>
          <t>TROSA</t>
        </is>
      </c>
      <c r="G10" t="n">
        <v>2.7</v>
      </c>
      <c r="H10" t="n">
        <v>1</v>
      </c>
      <c r="I10" t="n">
        <v>0</v>
      </c>
      <c r="J10" t="n">
        <v>1</v>
      </c>
      <c r="K10" t="n">
        <v>0</v>
      </c>
      <c r="L10" t="n">
        <v>0</v>
      </c>
      <c r="M10" t="n">
        <v>0</v>
      </c>
      <c r="N10" t="n">
        <v>0</v>
      </c>
      <c r="O10" t="n">
        <v>1</v>
      </c>
      <c r="P10" t="n">
        <v>0</v>
      </c>
      <c r="Q10" t="n">
        <v>2</v>
      </c>
      <c r="R10" s="2" t="inlineStr">
        <is>
          <t>Svinrot
Citronfläckad kärrtrollslända</t>
        </is>
      </c>
      <c r="S10">
        <f>HYPERLINK("https://klasma.github.io/Logging_0488/artfynd/A 21940-2020 artfynd.xlsx", "A 21940-2020")</f>
        <v/>
      </c>
      <c r="T10">
        <f>HYPERLINK("https://klasma.github.io/Logging_0488/kartor/A 21940-2020 karta.png", "A 21940-2020")</f>
        <v/>
      </c>
      <c r="V10">
        <f>HYPERLINK("https://klasma.github.io/Logging_0488/klagomål/A 21940-2020 FSC-klagomål.docx", "A 21940-2020")</f>
        <v/>
      </c>
      <c r="W10">
        <f>HYPERLINK("https://klasma.github.io/Logging_0488/klagomålsmail/A 21940-2020 FSC-klagomål mail.docx", "A 21940-2020")</f>
        <v/>
      </c>
      <c r="X10">
        <f>HYPERLINK("https://klasma.github.io/Logging_0488/tillsyn/A 21940-2020 tillsynsbegäran.docx", "A 21940-2020")</f>
        <v/>
      </c>
      <c r="Y10">
        <f>HYPERLINK("https://klasma.github.io/Logging_0488/tillsynsmail/A 21940-2020 tillsynsbegäran mail.docx", "A 21940-2020")</f>
        <v/>
      </c>
    </row>
    <row r="11" ht="15" customHeight="1">
      <c r="A11" t="inlineStr">
        <is>
          <t>A 13760-2022</t>
        </is>
      </c>
      <c r="B11" s="1" t="n">
        <v>44649</v>
      </c>
      <c r="C11" s="1" t="n">
        <v>45750</v>
      </c>
      <c r="D11" t="inlineStr">
        <is>
          <t>SÖDERMANLANDS LÄN</t>
        </is>
      </c>
      <c r="E11" t="inlineStr">
        <is>
          <t>TROSA</t>
        </is>
      </c>
      <c r="F11" t="inlineStr">
        <is>
          <t>Övriga statliga verk och myndigheter</t>
        </is>
      </c>
      <c r="G11" t="n">
        <v>2</v>
      </c>
      <c r="H11" t="n">
        <v>0</v>
      </c>
      <c r="I11" t="n">
        <v>1</v>
      </c>
      <c r="J11" t="n">
        <v>0</v>
      </c>
      <c r="K11" t="n">
        <v>0</v>
      </c>
      <c r="L11" t="n">
        <v>1</v>
      </c>
      <c r="M11" t="n">
        <v>0</v>
      </c>
      <c r="N11" t="n">
        <v>0</v>
      </c>
      <c r="O11" t="n">
        <v>1</v>
      </c>
      <c r="P11" t="n">
        <v>1</v>
      </c>
      <c r="Q11" t="n">
        <v>2</v>
      </c>
      <c r="R11" s="2" t="inlineStr">
        <is>
          <t>Ask
Strutbräken</t>
        </is>
      </c>
      <c r="S11">
        <f>HYPERLINK("https://klasma.github.io/Logging_0488/artfynd/A 13760-2022 artfynd.xlsx", "A 13760-2022")</f>
        <v/>
      </c>
      <c r="T11">
        <f>HYPERLINK("https://klasma.github.io/Logging_0488/kartor/A 13760-2022 karta.png", "A 13760-2022")</f>
        <v/>
      </c>
      <c r="V11">
        <f>HYPERLINK("https://klasma.github.io/Logging_0488/klagomål/A 13760-2022 FSC-klagomål.docx", "A 13760-2022")</f>
        <v/>
      </c>
      <c r="W11">
        <f>HYPERLINK("https://klasma.github.io/Logging_0488/klagomålsmail/A 13760-2022 FSC-klagomål mail.docx", "A 13760-2022")</f>
        <v/>
      </c>
      <c r="X11">
        <f>HYPERLINK("https://klasma.github.io/Logging_0488/tillsyn/A 13760-2022 tillsynsbegäran.docx", "A 13760-2022")</f>
        <v/>
      </c>
      <c r="Y11">
        <f>HYPERLINK("https://klasma.github.io/Logging_0488/tillsynsmail/A 13760-2022 tillsynsbegäran mail.docx", "A 13760-2022")</f>
        <v/>
      </c>
    </row>
    <row r="12" ht="15" customHeight="1">
      <c r="A12" t="inlineStr">
        <is>
          <t>A 44253-2024</t>
        </is>
      </c>
      <c r="B12" s="1" t="n">
        <v>45573</v>
      </c>
      <c r="C12" s="1" t="n">
        <v>45750</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45750</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45750</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45750</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45750</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45750</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45750</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45750</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45750</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45750</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45750</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45750</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45750</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45750</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45750</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45750</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45750</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45750</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45750</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45750</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45750</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45750</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45750</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45750</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45750</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45750</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45750</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45750</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45750</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45750</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45750</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45750</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45750</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45750</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45750</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45750</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45750</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45750</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45750</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45750</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45750</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45750</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45750</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45750</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45750</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45750</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45750</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45750</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45750</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45750</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45750</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45750</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45750</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45750</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45750</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45750</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45750</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45750</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45750</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45750</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45750</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45750</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45750</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45750</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45750</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45750</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45750</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45750</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45750</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45750</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45750</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45750</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45750</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45750</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45750</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45750</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45750</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45750</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45750</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45750</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45750</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45750</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45750</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45750</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45750</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45750</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45750</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45750</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45750</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45750</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45750</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45750</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45750</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45750</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45750</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45750</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45750</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45750</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45750</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45750</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45750</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45750</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45750</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45750</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45750</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45750</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45750</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45750</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45750</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45750</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45750</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45750</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45750</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45750</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45750</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45750</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45750</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45750</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45750</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45750</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45750</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45750</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45750</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45750</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45750</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45750</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45750</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45750</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45750</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45750</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45750</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45750</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45750</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45750</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45750</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45750</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45750</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45750</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45750</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45750</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45750</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45750</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45750</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45750</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45750</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45750</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45750</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45750</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45750</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45750</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45750</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45750</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45750</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45750</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45750</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45750</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45750</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45750</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45750</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45750</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45750</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ht="15" customHeight="1">
      <c r="A173" t="inlineStr">
        <is>
          <t>A 60957-2024</t>
        </is>
      </c>
      <c r="B173" s="1" t="n">
        <v>45645</v>
      </c>
      <c r="C173" s="1" t="n">
        <v>45750</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13675-2025</t>
        </is>
      </c>
      <c r="B174" s="1" t="n">
        <v>45736</v>
      </c>
      <c r="C174" s="1" t="n">
        <v>45750</v>
      </c>
      <c r="D174" t="inlineStr">
        <is>
          <t>SÖDERMANLANDS LÄN</t>
        </is>
      </c>
      <c r="E174" t="inlineStr">
        <is>
          <t>TROSA</t>
        </is>
      </c>
      <c r="G174" t="n">
        <v>1.4</v>
      </c>
      <c r="H174" t="n">
        <v>0</v>
      </c>
      <c r="I174" t="n">
        <v>0</v>
      </c>
      <c r="J174" t="n">
        <v>0</v>
      </c>
      <c r="K174" t="n">
        <v>0</v>
      </c>
      <c r="L174" t="n">
        <v>0</v>
      </c>
      <c r="M174" t="n">
        <v>0</v>
      </c>
      <c r="N174" t="n">
        <v>0</v>
      </c>
      <c r="O174" t="n">
        <v>0</v>
      </c>
      <c r="P174" t="n">
        <v>0</v>
      </c>
      <c r="Q174" t="n">
        <v>0</v>
      </c>
      <c r="R174" s="2" t="inlineStr"/>
    </row>
    <row r="175">
      <c r="A175" t="inlineStr">
        <is>
          <t>A 15593-2025</t>
        </is>
      </c>
      <c r="B175" s="1" t="n">
        <v>45747</v>
      </c>
      <c r="C175" s="1" t="n">
        <v>45750</v>
      </c>
      <c r="D175" t="inlineStr">
        <is>
          <t>SÖDERMANLANDS LÄN</t>
        </is>
      </c>
      <c r="E175" t="inlineStr">
        <is>
          <t>TROSA</t>
        </is>
      </c>
      <c r="G175" t="n">
        <v>3</v>
      </c>
      <c r="H175" t="n">
        <v>0</v>
      </c>
      <c r="I175" t="n">
        <v>0</v>
      </c>
      <c r="J175" t="n">
        <v>0</v>
      </c>
      <c r="K175" t="n">
        <v>0</v>
      </c>
      <c r="L175" t="n">
        <v>0</v>
      </c>
      <c r="M175" t="n">
        <v>0</v>
      </c>
      <c r="N175" t="n">
        <v>0</v>
      </c>
      <c r="O175" t="n">
        <v>0</v>
      </c>
      <c r="P175" t="n">
        <v>0</v>
      </c>
      <c r="Q175" t="n">
        <v>0</v>
      </c>
      <c r="R1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2025-04-03T20:44:11Z</dcterms:created>
  <dcterms:modified xmlns:dcterms="http://purl.org/dc/terms/" xmlns:xsi="http://www.w3.org/2001/XMLSchema-instance" xsi:type="dcterms:W3CDTF">2025-04-03T20:44:11Z</dcterms:modified>
</cp:coreProperties>
</file>