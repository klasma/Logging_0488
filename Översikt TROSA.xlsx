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2707-2025</t>
        </is>
      </c>
      <c r="B2" t="inlineStr">
        <is>
          <t>samrådsanmälan</t>
        </is>
      </c>
      <c r="C2" t="inlineStr">
        <is>
          <t>Annan skogsbruksåtgärd</t>
        </is>
      </c>
      <c r="D2" s="1" t="n">
        <v>45930</v>
      </c>
      <c r="E2" s="1" t="n">
        <v>46307</v>
      </c>
      <c r="F2" t="inlineStr">
        <is>
          <t>SÖDERMANLANDS LÄN</t>
        </is>
      </c>
      <c r="G2" t="inlineStr">
        <is>
          <t>TROSA</t>
        </is>
      </c>
      <c r="I2" t="n">
        <v>10.3</v>
      </c>
      <c r="J2" t="n">
        <v>1</v>
      </c>
      <c r="K2" t="n">
        <v>5</v>
      </c>
      <c r="L2" t="n">
        <v>3</v>
      </c>
      <c r="M2" t="n">
        <v>0</v>
      </c>
      <c r="N2" t="n">
        <v>1</v>
      </c>
      <c r="O2" t="n">
        <v>0</v>
      </c>
      <c r="P2" t="n">
        <v>0</v>
      </c>
      <c r="Q2" t="n">
        <v>4</v>
      </c>
      <c r="R2" t="n">
        <v>1</v>
      </c>
      <c r="S2" t="n">
        <v>10</v>
      </c>
      <c r="T2" t="n">
        <v>12</v>
      </c>
      <c r="U2" t="n">
        <v>0</v>
      </c>
      <c r="V2" s="2" t="inlineStr">
        <is>
          <t>Ask
Ekticka
Lunglav
Sårläka
Bolmörtsskivling
Fällmossa
Guldlockmossa
Gulvaxing
Svart trolldruva
Blåsippa</t>
        </is>
      </c>
      <c r="W2">
        <f>HYPERLINK("https://klasma.github.io/Logging_0488/artfynd/S 2707-2025 artfynd.xlsx", "S 2707-2025")</f>
        <v/>
      </c>
      <c r="X2">
        <f>HYPERLINK("https://klasma.github.io/Logging_0488/kartor/S 2707-2025 karta.png", "S 2707-2025")</f>
        <v/>
      </c>
      <c r="Y2">
        <f>HYPERLINK("https://klasma.github.io/Logging_0488/kartor_geotiff/S 2707-2025 georefererad karta.tif", "S 2707-2025")</f>
        <v/>
      </c>
      <c r="AA2">
        <f>HYPERLINK("https://klasma.github.io/Logging_0488/klagomål/S 2707-2025 FSC-klagomål.docx", "S 2707-2025")</f>
        <v/>
      </c>
      <c r="AB2">
        <f>HYPERLINK("https://klasma.github.io/Logging_0488/klagomålsmail/S 2707-2025 FSC-klagomål mail.docx", "S 2707-2025")</f>
        <v/>
      </c>
      <c r="AC2">
        <f>HYPERLINK("https://klasma.github.io/Logging_0488/tillsyn/S 2707-2025 tillsynsbegäran.docx", "S 2707-2025")</f>
        <v/>
      </c>
      <c r="AD2">
        <f>HYPERLINK("https://klasma.github.io/Logging_0488/tillsynsmail/S 2707-2025 tillsynsbegäran mail.docx", "S 2707-2025")</f>
        <v/>
      </c>
    </row>
    <row r="3" ht="15" customHeight="1">
      <c r="A3" t="inlineStr">
        <is>
          <t>A 53869-2024</t>
        </is>
      </c>
      <c r="B3" t="inlineStr">
        <is>
          <t>avverkningsanmälan</t>
        </is>
      </c>
      <c r="C3" t="inlineStr">
        <is>
          <t>Avverkning för annat ändamål</t>
        </is>
      </c>
      <c r="D3" s="1" t="n">
        <v>45614</v>
      </c>
      <c r="E3" s="1" t="n">
        <v>46307</v>
      </c>
      <c r="F3" t="inlineStr">
        <is>
          <t>SÖDERMANLANDS LÄN</t>
        </is>
      </c>
      <c r="G3" t="inlineStr">
        <is>
          <t>TROSA</t>
        </is>
      </c>
      <c r="H3" t="inlineStr">
        <is>
          <t>Övriga statliga verk och myndigheter</t>
        </is>
      </c>
      <c r="I3" t="n">
        <v>20</v>
      </c>
      <c r="J3" t="n">
        <v>5</v>
      </c>
      <c r="K3" t="n">
        <v>1</v>
      </c>
      <c r="L3" t="n">
        <v>4</v>
      </c>
      <c r="M3" t="n">
        <v>0</v>
      </c>
      <c r="N3" t="n">
        <v>0</v>
      </c>
      <c r="O3" t="n">
        <v>0</v>
      </c>
      <c r="P3" t="n">
        <v>0</v>
      </c>
      <c r="Q3" t="n">
        <v>4</v>
      </c>
      <c r="R3" t="n">
        <v>0</v>
      </c>
      <c r="S3" t="n">
        <v>8</v>
      </c>
      <c r="T3" t="n">
        <v>9</v>
      </c>
      <c r="U3" t="n">
        <v>8</v>
      </c>
      <c r="V3" s="2" t="inlineStr">
        <is>
          <t>Enkelbeckasin
Gullpudra
Kricka
Älg
Stubbspretmossa
Spillkråka
Kungsfågel
Törnskata</t>
        </is>
      </c>
      <c r="W3">
        <f>HYPERLINK("https://klasma.github.io/Logging_0488/artfynd/A 53869-2024 artfynd.xlsx", "A 53869-2024")</f>
        <v/>
      </c>
      <c r="X3">
        <f>HYPERLINK("https://klasma.github.io/Logging_0488/kartor/A 53869-2024 karta.png", "A 53869-2024")</f>
        <v/>
      </c>
      <c r="Y3">
        <f>HYPERLINK("https://klasma.github.io/Logging_0488/kartor_geotiff/A 53869-2024 georefererad karta.tif", "A 53869-2024")</f>
        <v/>
      </c>
      <c r="AA3">
        <f>HYPERLINK("https://klasma.github.io/Logging_0488/klagomål/A 53869-2024 FSC-klagomål.docx", "A 53869-2024")</f>
        <v/>
      </c>
      <c r="AB3">
        <f>HYPERLINK("https://klasma.github.io/Logging_0488/klagomålsmail/A 53869-2024 FSC-klagomål mail.docx", "A 53869-2024")</f>
        <v/>
      </c>
      <c r="AC3">
        <f>HYPERLINK("https://klasma.github.io/Logging_0488/tillsyn/A 53869-2024 tillsynsbegäran.docx", "A 53869-2024")</f>
        <v/>
      </c>
      <c r="AD3">
        <f>HYPERLINK("https://klasma.github.io/Logging_0488/tillsynsmail/A 53869-2024 tillsynsbegäran mail.docx", "A 53869-2024")</f>
        <v/>
      </c>
      <c r="AE3">
        <f>HYPERLINK("https://klasma.github.io/Logging_0488/fåglar/A 53869-2024 prioriterade fågelarter.docx", "A 53869-2024")</f>
        <v/>
      </c>
    </row>
    <row r="4" ht="15" customHeight="1">
      <c r="A4" t="inlineStr">
        <is>
          <t>A 48791-2024</t>
        </is>
      </c>
      <c r="B4" t="inlineStr">
        <is>
          <t>avverkningsanmälan</t>
        </is>
      </c>
      <c r="C4" t="inlineStr">
        <is>
          <t>Avverkning för annat ändamål</t>
        </is>
      </c>
      <c r="D4" s="1" t="n">
        <v>45593</v>
      </c>
      <c r="E4" s="1" t="n">
        <v>46307</v>
      </c>
      <c r="F4" t="inlineStr">
        <is>
          <t>SÖDERMANLANDS LÄN</t>
        </is>
      </c>
      <c r="G4" t="inlineStr">
        <is>
          <t>TROSA</t>
        </is>
      </c>
      <c r="I4" t="n">
        <v>20.7</v>
      </c>
      <c r="J4" t="n">
        <v>5</v>
      </c>
      <c r="K4" t="n">
        <v>2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7</v>
      </c>
      <c r="T4" t="n">
        <v>8</v>
      </c>
      <c r="U4" t="n">
        <v>6</v>
      </c>
      <c r="V4" s="2" t="inlineStr">
        <is>
          <t>Kricka
Svart skogssnigel
Korallrot
Svavelriska
Mattlummer
Havsörn
Fläcknycklar</t>
        </is>
      </c>
      <c r="W4">
        <f>HYPERLINK("https://klasma.github.io/Logging_0488/artfynd/A 48791-2024 artfynd.xlsx", "A 48791-2024")</f>
        <v/>
      </c>
      <c r="X4">
        <f>HYPERLINK("https://klasma.github.io/Logging_0488/kartor/A 48791-2024 karta.png", "A 48791-2024")</f>
        <v/>
      </c>
      <c r="Y4">
        <f>HYPERLINK("https://klasma.github.io/Logging_0488/kartor_geotiff/A 48791-2024 georefererad karta.tif", "A 48791-2024")</f>
        <v/>
      </c>
      <c r="AA4">
        <f>HYPERLINK("https://klasma.github.io/Logging_0488/klagomål/A 48791-2024 FSC-klagomål.docx", "A 48791-2024")</f>
        <v/>
      </c>
      <c r="AB4">
        <f>HYPERLINK("https://klasma.github.io/Logging_0488/klagomålsmail/A 48791-2024 FSC-klagomål mail.docx", "A 48791-2024")</f>
        <v/>
      </c>
      <c r="AC4">
        <f>HYPERLINK("https://klasma.github.io/Logging_0488/tillsyn/A 48791-2024 tillsynsbegäran.docx", "A 48791-2024")</f>
        <v/>
      </c>
      <c r="AD4">
        <f>HYPERLINK("https://klasma.github.io/Logging_0488/tillsynsmail/A 48791-2024 tillsynsbegäran mail.docx", "A 48791-2024")</f>
        <v/>
      </c>
      <c r="AE4">
        <f>HYPERLINK("https://klasma.github.io/Logging_0488/fåglar/A 48791-2024 prioriterade fågelarter.docx", "A 48791-2024")</f>
        <v/>
      </c>
    </row>
    <row r="5" ht="15" customHeight="1">
      <c r="A5" t="inlineStr">
        <is>
          <t>A 13760-2022</t>
        </is>
      </c>
      <c r="B5" t="inlineStr">
        <is>
          <t>avverkningsanmälan</t>
        </is>
      </c>
      <c r="C5" t="inlineStr">
        <is>
          <t>Avverkning för annat ändamål</t>
        </is>
      </c>
      <c r="D5" s="1" t="n">
        <v>44649</v>
      </c>
      <c r="E5" s="1" t="n">
        <v>46307</v>
      </c>
      <c r="F5" t="inlineStr">
        <is>
          <t>SÖDERMANLANDS LÄN</t>
        </is>
      </c>
      <c r="G5" t="inlineStr">
        <is>
          <t>TROSA</t>
        </is>
      </c>
      <c r="H5" t="inlineStr">
        <is>
          <t>Övriga statliga verk och myndigheter</t>
        </is>
      </c>
      <c r="I5" t="n">
        <v>2</v>
      </c>
      <c r="J5" t="n">
        <v>2</v>
      </c>
      <c r="K5" t="n">
        <v>1</v>
      </c>
      <c r="L5" t="n">
        <v>2</v>
      </c>
      <c r="M5" t="n">
        <v>1</v>
      </c>
      <c r="N5" t="n">
        <v>1</v>
      </c>
      <c r="O5" t="n">
        <v>0</v>
      </c>
      <c r="P5" t="n">
        <v>0</v>
      </c>
      <c r="Q5" t="n">
        <v>4</v>
      </c>
      <c r="R5" t="n">
        <v>2</v>
      </c>
      <c r="S5" t="n">
        <v>5</v>
      </c>
      <c r="T5" t="n">
        <v>5</v>
      </c>
      <c r="U5" t="n">
        <v>2</v>
      </c>
      <c r="V5" s="2" t="inlineStr">
        <is>
          <t>Ask
Tofsvipa
Gullpudra
Kricka
Strutbräken</t>
        </is>
      </c>
      <c r="W5">
        <f>HYPERLINK("https://klasma.github.io/Logging_0488/artfynd/A 13760-2022 artfynd.xlsx", "A 13760-2022")</f>
        <v/>
      </c>
      <c r="X5">
        <f>HYPERLINK("https://klasma.github.io/Logging_0488/kartor/A 13760-2022 karta.png", "A 13760-2022")</f>
        <v/>
      </c>
      <c r="Y5">
        <f>HYPERLINK("https://klasma.github.io/Logging_0488/kartor_geotiff/A 13760-2022 georefererad karta.tif", "A 13760-2022")</f>
        <v/>
      </c>
      <c r="AA5">
        <f>HYPERLINK("https://klasma.github.io/Logging_0488/klagomål/A 13760-2022 FSC-klagomål.docx", "A 13760-2022")</f>
        <v/>
      </c>
      <c r="AB5">
        <f>HYPERLINK("https://klasma.github.io/Logging_0488/klagomålsmail/A 13760-2022 FSC-klagomål mail.docx", "A 13760-2022")</f>
        <v/>
      </c>
      <c r="AC5">
        <f>HYPERLINK("https://klasma.github.io/Logging_0488/tillsyn/A 13760-2022 tillsynsbegäran.docx", "A 13760-2022")</f>
        <v/>
      </c>
      <c r="AD5">
        <f>HYPERLINK("https://klasma.github.io/Logging_0488/tillsynsmail/A 13760-2022 tillsynsbegäran mail.docx", "A 13760-2022")</f>
        <v/>
      </c>
      <c r="AE5">
        <f>HYPERLINK("https://klasma.github.io/Logging_0488/fåglar/A 13760-2022 prioriterade fågelarter.docx", "A 13760-2022")</f>
        <v/>
      </c>
    </row>
    <row r="6" ht="15" customHeight="1">
      <c r="A6" t="inlineStr">
        <is>
          <t>S 2560-2023</t>
        </is>
      </c>
      <c r="B6" t="inlineStr">
        <is>
          <t>samrådsanmälan</t>
        </is>
      </c>
      <c r="C6" t="inlineStr">
        <is>
          <t>Annan skogsbruksåtgärd</t>
        </is>
      </c>
      <c r="D6" s="1" t="n">
        <v>45141</v>
      </c>
      <c r="E6" s="1" t="n">
        <v>46307</v>
      </c>
      <c r="F6" t="inlineStr">
        <is>
          <t>SÖDERMANLANDS LÄN</t>
        </is>
      </c>
      <c r="G6" t="inlineStr">
        <is>
          <t>TROSA</t>
        </is>
      </c>
      <c r="I6" t="n">
        <v>8</v>
      </c>
      <c r="J6" t="n">
        <v>2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2</v>
      </c>
      <c r="R6" t="n">
        <v>1</v>
      </c>
      <c r="S6" t="n">
        <v>5</v>
      </c>
      <c r="T6" t="n">
        <v>5</v>
      </c>
      <c r="U6" t="n">
        <v>2</v>
      </c>
      <c r="V6" s="2" t="inlineStr">
        <is>
          <t>Ask
Vårärt
Brun nållav
Näktergal
Ärtsångare</t>
        </is>
      </c>
      <c r="W6">
        <f>HYPERLINK("https://klasma.github.io/Logging_0488/artfynd/S 2560-2023 artfynd.xlsx", "S 2560-2023")</f>
        <v/>
      </c>
      <c r="X6">
        <f>HYPERLINK("https://klasma.github.io/Logging_0488/kartor/S 2560-2023 karta.png", "S 2560-2023")</f>
        <v/>
      </c>
      <c r="Y6">
        <f>HYPERLINK("https://klasma.github.io/Logging_0488/kartor_geotiff/S 2560-2023 georefererad karta.tif", "S 2560-2023")</f>
        <v/>
      </c>
      <c r="AA6">
        <f>HYPERLINK("https://klasma.github.io/Logging_0488/klagomål/S 2560-2023 FSC-klagomål.docx", "S 2560-2023")</f>
        <v/>
      </c>
      <c r="AB6">
        <f>HYPERLINK("https://klasma.github.io/Logging_0488/klagomålsmail/S 2560-2023 FSC-klagomål mail.docx", "S 2560-2023")</f>
        <v/>
      </c>
      <c r="AC6">
        <f>HYPERLINK("https://klasma.github.io/Logging_0488/tillsyn/S 2560-2023 tillsynsbegäran.docx", "S 2560-2023")</f>
        <v/>
      </c>
      <c r="AD6">
        <f>HYPERLINK("https://klasma.github.io/Logging_0488/tillsynsmail/S 2560-2023 tillsynsbegäran mail.docx", "S 2560-2023")</f>
        <v/>
      </c>
      <c r="AE6">
        <f>HYPERLINK("https://klasma.github.io/Logging_0488/fåglar/S 2560-2023 prioriterade fågelarter.docx", "S 2560-2023")</f>
        <v/>
      </c>
    </row>
    <row r="7" ht="15" customHeight="1">
      <c r="A7" t="inlineStr">
        <is>
          <t>A 63029-2021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44505</v>
      </c>
      <c r="E7" s="1" t="n">
        <v>46307</v>
      </c>
      <c r="F7" t="inlineStr">
        <is>
          <t>SÖDERMANLANDS LÄN</t>
        </is>
      </c>
      <c r="G7" t="inlineStr">
        <is>
          <t>TROSA</t>
        </is>
      </c>
      <c r="H7" t="inlineStr">
        <is>
          <t>Holmen skog AB</t>
        </is>
      </c>
      <c r="I7" t="n">
        <v>1.4</v>
      </c>
      <c r="J7" t="n">
        <v>1</v>
      </c>
      <c r="K7" t="n">
        <v>0</v>
      </c>
      <c r="L7" t="n">
        <v>1</v>
      </c>
      <c r="M7" t="n">
        <v>2</v>
      </c>
      <c r="N7" t="n">
        <v>0</v>
      </c>
      <c r="O7" t="n">
        <v>0</v>
      </c>
      <c r="P7" t="n">
        <v>0</v>
      </c>
      <c r="Q7" t="n">
        <v>3</v>
      </c>
      <c r="R7" t="n">
        <v>2</v>
      </c>
      <c r="S7" t="n">
        <v>3</v>
      </c>
      <c r="T7" t="n">
        <v>3</v>
      </c>
      <c r="U7" t="n">
        <v>1</v>
      </c>
      <c r="V7" s="2" t="inlineStr">
        <is>
          <t>Bredbrämad bastardsvärmare
Gråtrut
Vitfläckig guldvinge</t>
        </is>
      </c>
      <c r="W7">
        <f>HYPERLINK("https://klasma.github.io/Logging_0488/artfynd/A 63029-2021 artfynd.xlsx", "A 63029-2021")</f>
        <v/>
      </c>
      <c r="X7">
        <f>HYPERLINK("https://klasma.github.io/Logging_0488/kartor/A 63029-2021 karta.png", "A 63029-2021")</f>
        <v/>
      </c>
      <c r="Y7">
        <f>HYPERLINK("https://klasma.github.io/Logging_0488/kartor_geotiff/A 63029-2021 georefererad karta.tif", "A 63029-2021")</f>
        <v/>
      </c>
      <c r="AA7">
        <f>HYPERLINK("https://klasma.github.io/Logging_0488/klagomål/A 63029-2021 FSC-klagomål.docx", "A 63029-2021")</f>
        <v/>
      </c>
      <c r="AB7">
        <f>HYPERLINK("https://klasma.github.io/Logging_0488/klagomålsmail/A 63029-2021 FSC-klagomål mail.docx", "A 63029-2021")</f>
        <v/>
      </c>
      <c r="AC7">
        <f>HYPERLINK("https://klasma.github.io/Logging_0488/tillsyn/A 63029-2021 tillsynsbegäran.docx", "A 63029-2021")</f>
        <v/>
      </c>
      <c r="AD7">
        <f>HYPERLINK("https://klasma.github.io/Logging_0488/tillsynsmail/A 63029-2021 tillsynsbegäran mail.docx", "A 63029-2021")</f>
        <v/>
      </c>
    </row>
    <row r="8" ht="15" customHeight="1">
      <c r="A8" t="inlineStr">
        <is>
          <t>A 2699-2023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44944</v>
      </c>
      <c r="E8" s="1" t="n">
        <v>46307</v>
      </c>
      <c r="F8" t="inlineStr">
        <is>
          <t>SÖDERMANLANDS LÄN</t>
        </is>
      </c>
      <c r="G8" t="inlineStr">
        <is>
          <t>TROSA</t>
        </is>
      </c>
      <c r="I8" t="n">
        <v>4.7</v>
      </c>
      <c r="J8" t="n">
        <v>2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3</v>
      </c>
      <c r="T8" t="n">
        <v>3</v>
      </c>
      <c r="U8" t="n">
        <v>3</v>
      </c>
      <c r="V8" s="2" t="inlineStr">
        <is>
          <t>Järnsparv
Svart trolldruva
Trana</t>
        </is>
      </c>
      <c r="W8">
        <f>HYPERLINK("https://klasma.github.io/Logging_0488/artfynd/A 2699-2023 artfynd.xlsx", "A 2699-2023")</f>
        <v/>
      </c>
      <c r="X8">
        <f>HYPERLINK("https://klasma.github.io/Logging_0488/kartor/A 2699-2023 karta.png", "A 2699-2023")</f>
        <v/>
      </c>
      <c r="Y8">
        <f>HYPERLINK("https://klasma.github.io/Logging_0488/kartor_geotiff/A 2699-2023 georefererad karta.tif", "A 2699-2023")</f>
        <v/>
      </c>
      <c r="AA8">
        <f>HYPERLINK("https://klasma.github.io/Logging_0488/klagomål/A 2699-2023 FSC-klagomål.docx", "A 2699-2023")</f>
        <v/>
      </c>
      <c r="AB8">
        <f>HYPERLINK("https://klasma.github.io/Logging_0488/klagomålsmail/A 2699-2023 FSC-klagomål mail.docx", "A 2699-2023")</f>
        <v/>
      </c>
      <c r="AC8">
        <f>HYPERLINK("https://klasma.github.io/Logging_0488/tillsyn/A 2699-2023 tillsynsbegäran.docx", "A 2699-2023")</f>
        <v/>
      </c>
      <c r="AD8">
        <f>HYPERLINK("https://klasma.github.io/Logging_0488/tillsynsmail/A 2699-2023 tillsynsbegäran mail.docx", "A 2699-2023")</f>
        <v/>
      </c>
      <c r="AE8">
        <f>HYPERLINK("https://klasma.github.io/Logging_0488/fåglar/A 2699-2023 prioriterade fågelarter.docx", "A 2699-2023")</f>
        <v/>
      </c>
    </row>
    <row r="9" ht="15" customHeight="1">
      <c r="A9" t="inlineStr">
        <is>
          <t>S 4519-2023</t>
        </is>
      </c>
      <c r="B9" t="inlineStr">
        <is>
          <t>samrådsanmälan</t>
        </is>
      </c>
      <c r="C9" t="inlineStr">
        <is>
          <t>Skogsgödsling</t>
        </is>
      </c>
      <c r="D9" s="1" t="n">
        <v>45275</v>
      </c>
      <c r="E9" s="1" t="n">
        <v>46307</v>
      </c>
      <c r="F9" t="inlineStr">
        <is>
          <t>SÖDERMANLANDS LÄN</t>
        </is>
      </c>
      <c r="G9" t="inlineStr">
        <is>
          <t>TROSA</t>
        </is>
      </c>
      <c r="H9" t="inlineStr">
        <is>
          <t>Holmen skog AB</t>
        </is>
      </c>
      <c r="I9" t="n">
        <v>187.3</v>
      </c>
      <c r="J9" t="n">
        <v>1</v>
      </c>
      <c r="K9" t="n">
        <v>0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0</v>
      </c>
      <c r="S9" t="n">
        <v>3</v>
      </c>
      <c r="T9" t="n">
        <v>3</v>
      </c>
      <c r="U9" t="n">
        <v>2</v>
      </c>
      <c r="V9" s="2" t="inlineStr">
        <is>
          <t>Tallticka
Talltita
Älg</t>
        </is>
      </c>
      <c r="W9">
        <f>HYPERLINK("https://klasma.github.io/Logging_0488/artfynd/S 4519-2023 artfynd.xlsx", "S 4519-2023")</f>
        <v/>
      </c>
      <c r="X9">
        <f>HYPERLINK("https://klasma.github.io/Logging_0488/kartor/S 4519-2023 karta.png", "S 4519-2023")</f>
        <v/>
      </c>
      <c r="Y9">
        <f>HYPERLINK("https://klasma.github.io/Logging_0488/kartor_geotiff/S 4519-2023 georefererad karta.tif", "S 4519-2023")</f>
        <v/>
      </c>
      <c r="AA9">
        <f>HYPERLINK("https://klasma.github.io/Logging_0488/klagomål/S 4519-2023 FSC-klagomål.docx", "S 4519-2023")</f>
        <v/>
      </c>
      <c r="AB9">
        <f>HYPERLINK("https://klasma.github.io/Logging_0488/klagomålsmail/S 4519-2023 FSC-klagomål mail.docx", "S 4519-2023")</f>
        <v/>
      </c>
      <c r="AC9">
        <f>HYPERLINK("https://klasma.github.io/Logging_0488/tillsyn/S 4519-2023 tillsynsbegäran.docx", "S 4519-2023")</f>
        <v/>
      </c>
      <c r="AD9">
        <f>HYPERLINK("https://klasma.github.io/Logging_0488/tillsynsmail/S 4519-2023 tillsynsbegäran mail.docx", "S 4519-2023")</f>
        <v/>
      </c>
      <c r="AE9">
        <f>HYPERLINK("https://klasma.github.io/Logging_0488/fåglar/S 4519-2023 prioriterade fågelarter.docx", "S 4519-2023")</f>
        <v/>
      </c>
    </row>
    <row r="10" ht="15" customHeight="1">
      <c r="A10" t="inlineStr">
        <is>
          <t>A 11736-2024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45373</v>
      </c>
      <c r="E10" s="1" t="n">
        <v>46307</v>
      </c>
      <c r="F10" t="inlineStr">
        <is>
          <t>SÖDERMANLANDS LÄN</t>
        </is>
      </c>
      <c r="G10" t="inlineStr">
        <is>
          <t>TROSA</t>
        </is>
      </c>
      <c r="I10" t="n">
        <v>8</v>
      </c>
      <c r="J10" t="n">
        <v>2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2</v>
      </c>
      <c r="T10" t="n">
        <v>2</v>
      </c>
      <c r="U10" t="n">
        <v>0</v>
      </c>
      <c r="V10" s="2" t="inlineStr">
        <is>
          <t>Enkelbeckasin
Grön sköldmossa</t>
        </is>
      </c>
      <c r="W10">
        <f>HYPERLINK("https://klasma.github.io/Logging_0488/artfynd/A 11736-2024 artfynd.xlsx", "A 11736-2024")</f>
        <v/>
      </c>
      <c r="X10">
        <f>HYPERLINK("https://klasma.github.io/Logging_0488/kartor/A 11736-2024 karta.png", "A 11736-2024")</f>
        <v/>
      </c>
      <c r="Y10">
        <f>HYPERLINK("https://klasma.github.io/Logging_0488/kartor_geotiff/A 11736-2024 georefererad karta.tif", "A 11736-2024")</f>
        <v/>
      </c>
      <c r="AA10">
        <f>HYPERLINK("https://klasma.github.io/Logging_0488/klagomål/A 11736-2024 FSC-klagomål.docx", "A 11736-2024")</f>
        <v/>
      </c>
      <c r="AB10">
        <f>HYPERLINK("https://klasma.github.io/Logging_0488/klagomålsmail/A 11736-2024 FSC-klagomål mail.docx", "A 11736-2024")</f>
        <v/>
      </c>
      <c r="AC10">
        <f>HYPERLINK("https://klasma.github.io/Logging_0488/tillsyn/A 11736-2024 tillsynsbegäran.docx", "A 11736-2024")</f>
        <v/>
      </c>
      <c r="AD10">
        <f>HYPERLINK("https://klasma.github.io/Logging_0488/tillsynsmail/A 11736-2024 tillsynsbegäran mail.docx", "A 11736-2024")</f>
        <v/>
      </c>
      <c r="AE10">
        <f>HYPERLINK("https://klasma.github.io/Logging_0488/fåglar/A 11736-2024 prioriterade fågelarter.docx", "A 11736-2024")</f>
        <v/>
      </c>
    </row>
    <row r="11" ht="15" customHeight="1">
      <c r="A11" t="inlineStr">
        <is>
          <t>A 51481-2024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45603</v>
      </c>
      <c r="E11" s="1" t="n">
        <v>46307</v>
      </c>
      <c r="F11" t="inlineStr">
        <is>
          <t>SÖDERMANLANDS LÄN</t>
        </is>
      </c>
      <c r="G11" t="inlineStr">
        <is>
          <t>TROSA</t>
        </is>
      </c>
      <c r="I11" t="n">
        <v>12.8</v>
      </c>
      <c r="J11" t="n">
        <v>2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2</v>
      </c>
      <c r="T11" t="n">
        <v>2</v>
      </c>
      <c r="U11" t="n">
        <v>2</v>
      </c>
      <c r="V11" s="2" t="inlineStr">
        <is>
          <t>Talltita
Spillkråka</t>
        </is>
      </c>
      <c r="W11">
        <f>HYPERLINK("https://klasma.github.io/Logging_0488/artfynd/A 51481-2024 artfynd.xlsx", "A 51481-2024")</f>
        <v/>
      </c>
      <c r="X11">
        <f>HYPERLINK("https://klasma.github.io/Logging_0488/kartor/A 51481-2024 karta.png", "A 51481-2024")</f>
        <v/>
      </c>
      <c r="Y11">
        <f>HYPERLINK("https://klasma.github.io/Logging_0488/kartor_geotiff/A 51481-2024 georefererad karta.tif", "A 51481-2024")</f>
        <v/>
      </c>
      <c r="AA11">
        <f>HYPERLINK("https://klasma.github.io/Logging_0488/klagomål/A 51481-2024 FSC-klagomål.docx", "A 51481-2024")</f>
        <v/>
      </c>
      <c r="AB11">
        <f>HYPERLINK("https://klasma.github.io/Logging_0488/klagomålsmail/A 51481-2024 FSC-klagomål mail.docx", "A 51481-2024")</f>
        <v/>
      </c>
      <c r="AC11">
        <f>HYPERLINK("https://klasma.github.io/Logging_0488/tillsyn/A 51481-2024 tillsynsbegäran.docx", "A 51481-2024")</f>
        <v/>
      </c>
      <c r="AD11">
        <f>HYPERLINK("https://klasma.github.io/Logging_0488/tillsynsmail/A 51481-2024 tillsynsbegäran mail.docx", "A 51481-2024")</f>
        <v/>
      </c>
      <c r="AE11">
        <f>HYPERLINK("https://klasma.github.io/Logging_0488/fåglar/A 51481-2024 prioriterade fågelarter.docx", "A 51481-2024")</f>
        <v/>
      </c>
    </row>
    <row r="12" ht="15" customHeight="1">
      <c r="A12" t="inlineStr">
        <is>
          <t>A 69966-2021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44533</v>
      </c>
      <c r="E12" s="1" t="n">
        <v>46307</v>
      </c>
      <c r="F12" t="inlineStr">
        <is>
          <t>SÖDERMANLANDS LÄN</t>
        </is>
      </c>
      <c r="G12" t="inlineStr">
        <is>
          <t>TROSA</t>
        </is>
      </c>
      <c r="I12" t="n">
        <v>1.9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s="2" t="inlineStr">
        <is>
          <t>Igelkott</t>
        </is>
      </c>
      <c r="W12">
        <f>HYPERLINK("https://klasma.github.io/Logging_0488/artfynd/A 69966-2021 artfynd.xlsx", "A 69966-2021")</f>
        <v/>
      </c>
      <c r="X12">
        <f>HYPERLINK("https://klasma.github.io/Logging_0488/kartor/A 69966-2021 karta.png", "A 69966-2021")</f>
        <v/>
      </c>
      <c r="Y12">
        <f>HYPERLINK("https://klasma.github.io/Logging_0488/kartor_geotiff/A 69966-2021 georefererad karta.tif", "A 69966-2021")</f>
        <v/>
      </c>
      <c r="AA12">
        <f>HYPERLINK("https://klasma.github.io/Logging_0488/klagomål/A 69966-2021 FSC-klagomål.docx", "A 69966-2021")</f>
        <v/>
      </c>
      <c r="AB12">
        <f>HYPERLINK("https://klasma.github.io/Logging_0488/klagomålsmail/A 69966-2021 FSC-klagomål mail.docx", "A 69966-2021")</f>
        <v/>
      </c>
      <c r="AC12">
        <f>HYPERLINK("https://klasma.github.io/Logging_0488/tillsyn/A 69966-2021 tillsynsbegäran.docx", "A 69966-2021")</f>
        <v/>
      </c>
      <c r="AD12">
        <f>HYPERLINK("https://klasma.github.io/Logging_0488/tillsynsmail/A 69966-2021 tillsynsbegäran mail.docx", "A 69966-2021")</f>
        <v/>
      </c>
    </row>
    <row r="13" ht="15" customHeight="1">
      <c r="A13" t="inlineStr">
        <is>
          <t>A 11066-2024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45370</v>
      </c>
      <c r="E13" s="1" t="n">
        <v>46307</v>
      </c>
      <c r="F13" t="inlineStr">
        <is>
          <t>SÖDERMANLANDS LÄN</t>
        </is>
      </c>
      <c r="G13" t="inlineStr">
        <is>
          <t>TROSA</t>
        </is>
      </c>
      <c r="I13" t="n">
        <v>2.3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0</v>
      </c>
      <c r="V13" s="2" t="inlineStr">
        <is>
          <t>Nötkråka</t>
        </is>
      </c>
      <c r="W13">
        <f>HYPERLINK("https://klasma.github.io/Logging_0488/artfynd/A 11066-2024 artfynd.xlsx", "A 11066-2024")</f>
        <v/>
      </c>
      <c r="X13">
        <f>HYPERLINK("https://klasma.github.io/Logging_0488/kartor/A 11066-2024 karta.png", "A 11066-2024")</f>
        <v/>
      </c>
      <c r="Y13">
        <f>HYPERLINK("https://klasma.github.io/Logging_0488/kartor_geotiff/A 11066-2024 georefererad karta.tif", "A 11066-2024")</f>
        <v/>
      </c>
      <c r="AA13">
        <f>HYPERLINK("https://klasma.github.io/Logging_0488/klagomål/A 11066-2024 FSC-klagomål.docx", "A 11066-2024")</f>
        <v/>
      </c>
      <c r="AB13">
        <f>HYPERLINK("https://klasma.github.io/Logging_0488/klagomålsmail/A 11066-2024 FSC-klagomål mail.docx", "A 11066-2024")</f>
        <v/>
      </c>
      <c r="AC13">
        <f>HYPERLINK("https://klasma.github.io/Logging_0488/tillsyn/A 11066-2024 tillsynsbegäran.docx", "A 11066-2024")</f>
        <v/>
      </c>
      <c r="AD13">
        <f>HYPERLINK("https://klasma.github.io/Logging_0488/tillsynsmail/A 11066-2024 tillsynsbegäran mail.docx", "A 11066-2024")</f>
        <v/>
      </c>
      <c r="AE13">
        <f>HYPERLINK("https://klasma.github.io/Logging_0488/fåglar/A 11066-2024 prioriterade fågelarter.docx", "A 11066-2024")</f>
        <v/>
      </c>
    </row>
    <row r="14" ht="15" customHeight="1">
      <c r="A14" t="inlineStr">
        <is>
          <t>A 11123-2023</t>
        </is>
      </c>
      <c r="B14" t="inlineStr">
        <is>
          <t>avverkningsanmälan</t>
        </is>
      </c>
      <c r="C14" t="inlineStr">
        <is>
          <t>Avverkning för annat ändamål</t>
        </is>
      </c>
      <c r="D14" s="1" t="n">
        <v>44986</v>
      </c>
      <c r="E14" s="1" t="n">
        <v>46307</v>
      </c>
      <c r="F14" t="inlineStr">
        <is>
          <t>SÖDERMANLANDS LÄN</t>
        </is>
      </c>
      <c r="G14" t="inlineStr">
        <is>
          <t>TROSA</t>
        </is>
      </c>
      <c r="H14" t="inlineStr">
        <is>
          <t>Övriga statliga verk och myndigheter</t>
        </is>
      </c>
      <c r="I14" t="n">
        <v>9.4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s="2" t="inlineStr">
        <is>
          <t>Kungsfågel</t>
        </is>
      </c>
      <c r="W14">
        <f>HYPERLINK("https://klasma.github.io/Logging_0488/artfynd/A 11123-2023 artfynd.xlsx", "A 11123-2023")</f>
        <v/>
      </c>
      <c r="X14">
        <f>HYPERLINK("https://klasma.github.io/Logging_0488/kartor/A 11123-2023 karta.png", "A 11123-2023")</f>
        <v/>
      </c>
      <c r="Y14">
        <f>HYPERLINK("https://klasma.github.io/Logging_0488/kartor_geotiff/A 11123-2023 georefererad karta.tif", "A 11123-2023")</f>
        <v/>
      </c>
      <c r="AA14">
        <f>HYPERLINK("https://klasma.github.io/Logging_0488/klagomål/A 11123-2023 FSC-klagomål.docx", "A 11123-2023")</f>
        <v/>
      </c>
      <c r="AB14">
        <f>HYPERLINK("https://klasma.github.io/Logging_0488/klagomålsmail/A 11123-2023 FSC-klagomål mail.docx", "A 11123-2023")</f>
        <v/>
      </c>
      <c r="AC14">
        <f>HYPERLINK("https://klasma.github.io/Logging_0488/tillsyn/A 11123-2023 tillsynsbegäran.docx", "A 11123-2023")</f>
        <v/>
      </c>
      <c r="AD14">
        <f>HYPERLINK("https://klasma.github.io/Logging_0488/tillsynsmail/A 11123-2023 tillsynsbegäran mail.docx", "A 11123-2023")</f>
        <v/>
      </c>
    </row>
    <row r="15" ht="15" customHeight="1">
      <c r="A15" t="inlineStr">
        <is>
          <t>A 57251-2025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45979</v>
      </c>
      <c r="E15" s="1" t="n">
        <v>46307</v>
      </c>
      <c r="F15" t="inlineStr">
        <is>
          <t>SÖDERMANLANDS LÄN</t>
        </is>
      </c>
      <c r="G15" t="inlineStr">
        <is>
          <t>TROSA</t>
        </is>
      </c>
      <c r="H15" t="inlineStr">
        <is>
          <t>Övriga Aktiebolag</t>
        </is>
      </c>
      <c r="I15" t="n">
        <v>1.6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1</v>
      </c>
      <c r="U15" t="n">
        <v>0</v>
      </c>
      <c r="V15" s="2" t="inlineStr">
        <is>
          <t>Flattoppad klubbsvamp</t>
        </is>
      </c>
      <c r="W15">
        <f>HYPERLINK("https://klasma.github.io/Logging_0488/artfynd/A 57251-2025 artfynd.xlsx", "A 57251-2025")</f>
        <v/>
      </c>
      <c r="X15">
        <f>HYPERLINK("https://klasma.github.io/Logging_0488/kartor/A 57251-2025 karta.png", "A 57251-2025")</f>
        <v/>
      </c>
      <c r="Y15">
        <f>HYPERLINK("https://klasma.github.io/Logging_0488/kartor_geotiff/A 57251-2025 georefererad karta.tif", "A 57251-2025")</f>
        <v/>
      </c>
      <c r="AA15">
        <f>HYPERLINK("https://klasma.github.io/Logging_0488/klagomål/A 57251-2025 FSC-klagomål.docx", "A 57251-2025")</f>
        <v/>
      </c>
      <c r="AB15">
        <f>HYPERLINK("https://klasma.github.io/Logging_0488/klagomålsmail/A 57251-2025 FSC-klagomål mail.docx", "A 57251-2025")</f>
        <v/>
      </c>
      <c r="AC15">
        <f>HYPERLINK("https://klasma.github.io/Logging_0488/tillsyn/A 57251-2025 tillsynsbegäran.docx", "A 57251-2025")</f>
        <v/>
      </c>
      <c r="AD15">
        <f>HYPERLINK("https://klasma.github.io/Logging_0488/tillsynsmail/A 57251-2025 tillsynsbegäran mail.docx", "A 57251-2025")</f>
        <v/>
      </c>
    </row>
    <row r="16" ht="15" customHeight="1">
      <c r="A16" t="inlineStr">
        <is>
          <t>A 56117-2022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44889</v>
      </c>
      <c r="E16" s="1" t="n">
        <v>46307</v>
      </c>
      <c r="F16" t="inlineStr">
        <is>
          <t>SÖDERMANLANDS LÄN</t>
        </is>
      </c>
      <c r="G16" t="inlineStr">
        <is>
          <t>TROSA</t>
        </is>
      </c>
      <c r="H16" t="inlineStr">
        <is>
          <t>Holmen skog AB</t>
        </is>
      </c>
      <c r="I16" t="n">
        <v>0.7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0</v>
      </c>
      <c r="V16" s="2" t="inlineStr">
        <is>
          <t>Älg</t>
        </is>
      </c>
      <c r="W16">
        <f>HYPERLINK("https://klasma.github.io/Logging_0488/artfynd/A 56117-2022 artfynd.xlsx", "A 56117-2022")</f>
        <v/>
      </c>
      <c r="X16">
        <f>HYPERLINK("https://klasma.github.io/Logging_0488/kartor/A 56117-2022 karta.png", "A 56117-2022")</f>
        <v/>
      </c>
      <c r="Y16">
        <f>HYPERLINK("https://klasma.github.io/Logging_0488/kartor_geotiff/A 56117-2022 georefererad karta.tif", "A 56117-2022")</f>
        <v/>
      </c>
      <c r="AA16">
        <f>HYPERLINK("https://klasma.github.io/Logging_0488/klagomål/A 56117-2022 FSC-klagomål.docx", "A 56117-2022")</f>
        <v/>
      </c>
      <c r="AB16">
        <f>HYPERLINK("https://klasma.github.io/Logging_0488/klagomålsmail/A 56117-2022 FSC-klagomål mail.docx", "A 56117-2022")</f>
        <v/>
      </c>
      <c r="AC16">
        <f>HYPERLINK("https://klasma.github.io/Logging_0488/tillsyn/A 56117-2022 tillsynsbegäran.docx", "A 56117-2022")</f>
        <v/>
      </c>
      <c r="AD16">
        <f>HYPERLINK("https://klasma.github.io/Logging_0488/tillsynsmail/A 56117-2022 tillsynsbegäran mail.docx", "A 56117-2022")</f>
        <v/>
      </c>
    </row>
    <row r="17" ht="15" customHeight="1">
      <c r="A17" t="inlineStr">
        <is>
          <t>A 57004-2023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45244</v>
      </c>
      <c r="E17" s="1" t="n">
        <v>46307</v>
      </c>
      <c r="F17" t="inlineStr">
        <is>
          <t>SÖDERMANLANDS LÄN</t>
        </is>
      </c>
      <c r="G17" t="inlineStr">
        <is>
          <t>TROSA</t>
        </is>
      </c>
      <c r="H17" t="inlineStr">
        <is>
          <t>Kommuner</t>
        </is>
      </c>
      <c r="I17" t="n">
        <v>0.7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s="2" t="inlineStr">
        <is>
          <t>Spillkråka</t>
        </is>
      </c>
      <c r="W17">
        <f>HYPERLINK("https://klasma.github.io/Logging_0488/artfynd/A 57004-2023 artfynd.xlsx", "A 57004-2023")</f>
        <v/>
      </c>
      <c r="X17">
        <f>HYPERLINK("https://klasma.github.io/Logging_0488/kartor/A 57004-2023 karta.png", "A 57004-2023")</f>
        <v/>
      </c>
      <c r="Y17">
        <f>HYPERLINK("https://klasma.github.io/Logging_0488/kartor_geotiff/A 57004-2023 georefererad karta.tif", "A 57004-2023")</f>
        <v/>
      </c>
      <c r="AA17">
        <f>HYPERLINK("https://klasma.github.io/Logging_0488/klagomål/A 57004-2023 FSC-klagomål.docx", "A 57004-2023")</f>
        <v/>
      </c>
      <c r="AB17">
        <f>HYPERLINK("https://klasma.github.io/Logging_0488/klagomålsmail/A 57004-2023 FSC-klagomål mail.docx", "A 57004-2023")</f>
        <v/>
      </c>
      <c r="AC17">
        <f>HYPERLINK("https://klasma.github.io/Logging_0488/tillsyn/A 57004-2023 tillsynsbegäran.docx", "A 57004-2023")</f>
        <v/>
      </c>
      <c r="AD17">
        <f>HYPERLINK("https://klasma.github.io/Logging_0488/tillsynsmail/A 57004-2023 tillsynsbegäran mail.docx", "A 57004-2023")</f>
        <v/>
      </c>
      <c r="AE17">
        <f>HYPERLINK("https://klasma.github.io/Logging_0488/fåglar/A 57004-2023 prioriterade fågelarter.docx", "A 57004-2023")</f>
        <v/>
      </c>
    </row>
    <row r="18" ht="15" customHeight="1">
      <c r="A18" t="inlineStr">
        <is>
          <t>A 10390-2026</t>
        </is>
      </c>
      <c r="B18" t="inlineStr">
        <is>
          <t>avverkningsanmälan</t>
        </is>
      </c>
      <c r="C18" t="inlineStr">
        <is>
          <t>Avverkning för annat ändamål</t>
        </is>
      </c>
      <c r="D18" s="1" t="n">
        <v>46077</v>
      </c>
      <c r="E18" s="1" t="n">
        <v>46307</v>
      </c>
      <c r="F18" t="inlineStr">
        <is>
          <t>SÖDERMANLANDS LÄN</t>
        </is>
      </c>
      <c r="G18" t="inlineStr">
        <is>
          <t>TROSA</t>
        </is>
      </c>
      <c r="I18" t="n">
        <v>0.6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s="2" t="inlineStr">
        <is>
          <t>Igelkott</t>
        </is>
      </c>
      <c r="W18">
        <f>HYPERLINK("https://klasma.github.io/Logging_0488/artfynd/A 10390-2026 artfynd.xlsx", "A 10390-2026")</f>
        <v/>
      </c>
      <c r="X18">
        <f>HYPERLINK("https://klasma.github.io/Logging_0488/kartor/A 10390-2026 karta.png", "A 10390-2026")</f>
        <v/>
      </c>
      <c r="Y18">
        <f>HYPERLINK("https://klasma.github.io/Logging_0488/kartor_geotiff/A 10390-2026 georefererad karta.tif", "A 10390-2026")</f>
        <v/>
      </c>
      <c r="AA18">
        <f>HYPERLINK("https://klasma.github.io/Logging_0488/klagomål/A 10390-2026 FSC-klagomål.docx", "A 10390-2026")</f>
        <v/>
      </c>
      <c r="AB18">
        <f>HYPERLINK("https://klasma.github.io/Logging_0488/klagomålsmail/A 10390-2026 FSC-klagomål mail.docx", "A 10390-2026")</f>
        <v/>
      </c>
      <c r="AC18">
        <f>HYPERLINK("https://klasma.github.io/Logging_0488/tillsyn/A 10390-2026 tillsynsbegäran.docx", "A 10390-2026")</f>
        <v/>
      </c>
      <c r="AD18">
        <f>HYPERLINK("https://klasma.github.io/Logging_0488/tillsynsmail/A 10390-2026 tillsynsbegäran mail.docx", "A 10390-2026")</f>
        <v/>
      </c>
    </row>
    <row r="19" ht="15" customHeight="1">
      <c r="A19" t="inlineStr">
        <is>
          <t>A 31394-2026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46220</v>
      </c>
      <c r="E19" s="1" t="n">
        <v>46307</v>
      </c>
      <c r="F19" t="inlineStr">
        <is>
          <t>SÖDERMANLANDS LÄN</t>
        </is>
      </c>
      <c r="G19" t="inlineStr">
        <is>
          <t>TROSA</t>
        </is>
      </c>
      <c r="I19" t="n">
        <v>8.6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0</v>
      </c>
      <c r="V19" s="2" t="inlineStr">
        <is>
          <t>Vedskivlav</t>
        </is>
      </c>
      <c r="W19">
        <f>HYPERLINK("https://klasma.github.io/Logging_0488/artfynd/A 31394-2026 artfynd.xlsx", "A 31394-2026")</f>
        <v/>
      </c>
      <c r="X19">
        <f>HYPERLINK("https://klasma.github.io/Logging_0488/kartor/A 31394-2026 karta.png", "A 31394-2026")</f>
        <v/>
      </c>
      <c r="Y19">
        <f>HYPERLINK("https://klasma.github.io/Logging_0488/kartor_geotiff/A 31394-2026 georefererad karta.tif", "A 31394-2026")</f>
        <v/>
      </c>
      <c r="AA19">
        <f>HYPERLINK("https://klasma.github.io/Logging_0488/klagomål/A 31394-2026 FSC-klagomål.docx", "A 31394-2026")</f>
        <v/>
      </c>
      <c r="AB19">
        <f>HYPERLINK("https://klasma.github.io/Logging_0488/klagomålsmail/A 31394-2026 FSC-klagomål mail.docx", "A 31394-2026")</f>
        <v/>
      </c>
      <c r="AC19">
        <f>HYPERLINK("https://klasma.github.io/Logging_0488/tillsyn/A 31394-2026 tillsynsbegäran.docx", "A 31394-2026")</f>
        <v/>
      </c>
      <c r="AD19">
        <f>HYPERLINK("https://klasma.github.io/Logging_0488/tillsynsmail/A 31394-2026 tillsynsbegäran mail.docx", "A 31394-2026")</f>
        <v/>
      </c>
    </row>
    <row r="20" ht="15" customHeight="1">
      <c r="A20" t="inlineStr">
        <is>
          <t>A 59266-2021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44490</v>
      </c>
      <c r="E20" s="1" t="n">
        <v>46307</v>
      </c>
      <c r="F20" t="inlineStr">
        <is>
          <t>SÖDERMANLANDS LÄN</t>
        </is>
      </c>
      <c r="G20" t="inlineStr">
        <is>
          <t>TROSA</t>
        </is>
      </c>
      <c r="H20" t="inlineStr">
        <is>
          <t>Holmen skog AB</t>
        </is>
      </c>
      <c r="I20" t="n">
        <v>0.9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23609-2022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44721</v>
      </c>
      <c r="E21" s="1" t="n">
        <v>46307</v>
      </c>
      <c r="F21" t="inlineStr">
        <is>
          <t>SÖDERMANLANDS LÄN</t>
        </is>
      </c>
      <c r="G21" t="inlineStr">
        <is>
          <t>TROSA</t>
        </is>
      </c>
      <c r="I21" t="n">
        <v>1.6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56315-2021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44480</v>
      </c>
      <c r="E22" s="1" t="n">
        <v>46307</v>
      </c>
      <c r="F22" t="inlineStr">
        <is>
          <t>SÖDERMANLANDS LÄN</t>
        </is>
      </c>
      <c r="G22" t="inlineStr">
        <is>
          <t>TROSA</t>
        </is>
      </c>
      <c r="I22" t="n">
        <v>3.5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29943-2022</t>
        </is>
      </c>
      <c r="B23" t="inlineStr">
        <is>
          <t>avverkningsanmälan</t>
        </is>
      </c>
      <c r="C23" t="inlineStr">
        <is>
          <t>Avverkning för annat ändamål</t>
        </is>
      </c>
      <c r="D23" s="1" t="n">
        <v>44756</v>
      </c>
      <c r="E23" s="1" t="n">
        <v>46307</v>
      </c>
      <c r="F23" t="inlineStr">
        <is>
          <t>SÖDERMANLANDS LÄN</t>
        </is>
      </c>
      <c r="G23" t="inlineStr">
        <is>
          <t>TROSA</t>
        </is>
      </c>
      <c r="I23" t="n">
        <v>11.4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25851-2022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44733</v>
      </c>
      <c r="E24" s="1" t="n">
        <v>46307</v>
      </c>
      <c r="F24" t="inlineStr">
        <is>
          <t>SÖDERMANLANDS LÄN</t>
        </is>
      </c>
      <c r="G24" t="inlineStr">
        <is>
          <t>TROSA</t>
        </is>
      </c>
      <c r="I24" t="n">
        <v>1.6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58922-2021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44489</v>
      </c>
      <c r="E25" s="1" t="n">
        <v>46307</v>
      </c>
      <c r="F25" t="inlineStr">
        <is>
          <t>SÖDERMANLANDS LÄN</t>
        </is>
      </c>
      <c r="G25" t="inlineStr">
        <is>
          <t>TROSA</t>
        </is>
      </c>
      <c r="H25" t="inlineStr">
        <is>
          <t>Holmen skog AB</t>
        </is>
      </c>
      <c r="I25" t="n">
        <v>1.3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63049-2021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44505</v>
      </c>
      <c r="E26" s="1" t="n">
        <v>46307</v>
      </c>
      <c r="F26" t="inlineStr">
        <is>
          <t>SÖDERMANLANDS LÄN</t>
        </is>
      </c>
      <c r="G26" t="inlineStr">
        <is>
          <t>TROSA</t>
        </is>
      </c>
      <c r="H26" t="inlineStr">
        <is>
          <t>Holmen skog AB</t>
        </is>
      </c>
      <c r="I26" t="n">
        <v>0.9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3134-2022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44582</v>
      </c>
      <c r="E27" s="1" t="n">
        <v>46307</v>
      </c>
      <c r="F27" t="inlineStr">
        <is>
          <t>SÖDERMANLANDS LÄN</t>
        </is>
      </c>
      <c r="G27" t="inlineStr">
        <is>
          <t>TROSA</t>
        </is>
      </c>
      <c r="H27" t="inlineStr">
        <is>
          <t>Övriga Aktiebolag</t>
        </is>
      </c>
      <c r="I27" t="n">
        <v>4.1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6109-2022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44599</v>
      </c>
      <c r="E28" s="1" t="n">
        <v>46307</v>
      </c>
      <c r="F28" t="inlineStr">
        <is>
          <t>SÖDERMANLANDS LÄN</t>
        </is>
      </c>
      <c r="G28" t="inlineStr">
        <is>
          <t>TROSA</t>
        </is>
      </c>
      <c r="I28" t="n">
        <v>0.5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13839-2023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45007</v>
      </c>
      <c r="E29" s="1" t="n">
        <v>46307</v>
      </c>
      <c r="F29" t="inlineStr">
        <is>
          <t>SÖDERMANLANDS LÄN</t>
        </is>
      </c>
      <c r="G29" t="inlineStr">
        <is>
          <t>TROSA</t>
        </is>
      </c>
      <c r="H29" t="inlineStr">
        <is>
          <t>Holmen skog AB</t>
        </is>
      </c>
      <c r="I29" t="n">
        <v>2.5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11740-2024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45373</v>
      </c>
      <c r="E30" s="1" t="n">
        <v>46307</v>
      </c>
      <c r="F30" t="inlineStr">
        <is>
          <t>SÖDERMANLANDS LÄN</t>
        </is>
      </c>
      <c r="G30" t="inlineStr">
        <is>
          <t>TROSA</t>
        </is>
      </c>
      <c r="H30" t="inlineStr">
        <is>
          <t>Kommuner</t>
        </is>
      </c>
      <c r="I30" t="n">
        <v>1.6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11742-2024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45373</v>
      </c>
      <c r="E31" s="1" t="n">
        <v>46307</v>
      </c>
      <c r="F31" t="inlineStr">
        <is>
          <t>SÖDERMANLANDS LÄN</t>
        </is>
      </c>
      <c r="G31" t="inlineStr">
        <is>
          <t>TROSA</t>
        </is>
      </c>
      <c r="H31" t="inlineStr">
        <is>
          <t>Kommuner</t>
        </is>
      </c>
      <c r="I31" t="n">
        <v>8.199999999999999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1431-2023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44937</v>
      </c>
      <c r="E32" s="1" t="n">
        <v>46307</v>
      </c>
      <c r="F32" t="inlineStr">
        <is>
          <t>SÖDERMANLANDS LÄN</t>
        </is>
      </c>
      <c r="G32" t="inlineStr">
        <is>
          <t>TROSA</t>
        </is>
      </c>
      <c r="I32" t="n">
        <v>1.3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62473-2022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44916</v>
      </c>
      <c r="E33" s="1" t="n">
        <v>46307</v>
      </c>
      <c r="F33" t="inlineStr">
        <is>
          <t>SÖDERMANLANDS LÄN</t>
        </is>
      </c>
      <c r="G33" t="inlineStr">
        <is>
          <t>TROSA</t>
        </is>
      </c>
      <c r="H33" t="inlineStr">
        <is>
          <t>Övriga Aktiebolag</t>
        </is>
      </c>
      <c r="I33" t="n">
        <v>1.2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15293-2023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45019</v>
      </c>
      <c r="E34" s="1" t="n">
        <v>46307</v>
      </c>
      <c r="F34" t="inlineStr">
        <is>
          <t>SÖDERMANLANDS LÄN</t>
        </is>
      </c>
      <c r="G34" t="inlineStr">
        <is>
          <t>TROSA</t>
        </is>
      </c>
      <c r="H34" t="inlineStr">
        <is>
          <t>Holmen skog AB</t>
        </is>
      </c>
      <c r="I34" t="n">
        <v>0.5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36710-2024</t>
        </is>
      </c>
      <c r="B35" t="inlineStr">
        <is>
          <t>avverkningsanmälan</t>
        </is>
      </c>
      <c r="C35" t="inlineStr">
        <is>
          <t>Avverkning för annat ändamål</t>
        </is>
      </c>
      <c r="D35" s="1" t="n">
        <v>45537</v>
      </c>
      <c r="E35" s="1" t="n">
        <v>46307</v>
      </c>
      <c r="F35" t="inlineStr">
        <is>
          <t>SÖDERMANLANDS LÄN</t>
        </is>
      </c>
      <c r="G35" t="inlineStr">
        <is>
          <t>TROSA</t>
        </is>
      </c>
      <c r="H35" t="inlineStr">
        <is>
          <t>Övriga Aktiebolag</t>
        </is>
      </c>
      <c r="I35" t="n">
        <v>1.3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12447-2024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45379</v>
      </c>
      <c r="E36" s="1" t="n">
        <v>46307</v>
      </c>
      <c r="F36" t="inlineStr">
        <is>
          <t>SÖDERMANLANDS LÄN</t>
        </is>
      </c>
      <c r="G36" t="inlineStr">
        <is>
          <t>TROSA</t>
        </is>
      </c>
      <c r="I36" t="n">
        <v>3.4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11743-2024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45373</v>
      </c>
      <c r="E37" s="1" t="n">
        <v>46307</v>
      </c>
      <c r="F37" t="inlineStr">
        <is>
          <t>SÖDERMANLANDS LÄN</t>
        </is>
      </c>
      <c r="G37" t="inlineStr">
        <is>
          <t>TROSA</t>
        </is>
      </c>
      <c r="I37" t="n">
        <v>4.2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10998-2024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45370</v>
      </c>
      <c r="E38" s="1" t="n">
        <v>46307</v>
      </c>
      <c r="F38" t="inlineStr">
        <is>
          <t>SÖDERMANLANDS LÄN</t>
        </is>
      </c>
      <c r="G38" t="inlineStr">
        <is>
          <t>TROSA</t>
        </is>
      </c>
      <c r="I38" t="n">
        <v>9.5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29930-2022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44756</v>
      </c>
      <c r="E39" s="1" t="n">
        <v>46307</v>
      </c>
      <c r="F39" t="inlineStr">
        <is>
          <t>SÖDERMANLANDS LÄN</t>
        </is>
      </c>
      <c r="G39" t="inlineStr">
        <is>
          <t>TROSA</t>
        </is>
      </c>
      <c r="I39" t="n">
        <v>4.8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36709-2024</t>
        </is>
      </c>
      <c r="B40" t="inlineStr">
        <is>
          <t>avverkningsanmälan</t>
        </is>
      </c>
      <c r="C40" t="inlineStr">
        <is>
          <t>Avverkning för annat ändamål</t>
        </is>
      </c>
      <c r="D40" s="1" t="n">
        <v>45537</v>
      </c>
      <c r="E40" s="1" t="n">
        <v>46307</v>
      </c>
      <c r="F40" t="inlineStr">
        <is>
          <t>SÖDERMANLANDS LÄN</t>
        </is>
      </c>
      <c r="G40" t="inlineStr">
        <is>
          <t>TROSA</t>
        </is>
      </c>
      <c r="H40" t="inlineStr">
        <is>
          <t>Övriga Aktiebolag</t>
        </is>
      </c>
      <c r="I40" t="n">
        <v>1.8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36711-2024</t>
        </is>
      </c>
      <c r="B41" t="inlineStr">
        <is>
          <t>avverkningsanmälan</t>
        </is>
      </c>
      <c r="C41" t="inlineStr">
        <is>
          <t>Avverkning för annat ändamål</t>
        </is>
      </c>
      <c r="D41" s="1" t="n">
        <v>45537</v>
      </c>
      <c r="E41" s="1" t="n">
        <v>46307</v>
      </c>
      <c r="F41" t="inlineStr">
        <is>
          <t>SÖDERMANLANDS LÄN</t>
        </is>
      </c>
      <c r="G41" t="inlineStr">
        <is>
          <t>TROSA</t>
        </is>
      </c>
      <c r="H41" t="inlineStr">
        <is>
          <t>Övriga Aktiebolag</t>
        </is>
      </c>
      <c r="I41" t="n">
        <v>0.7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1589-2023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44937</v>
      </c>
      <c r="E42" s="1" t="n">
        <v>46307</v>
      </c>
      <c r="F42" t="inlineStr">
        <is>
          <t>SÖDERMANLANDS LÄN</t>
        </is>
      </c>
      <c r="G42" t="inlineStr">
        <is>
          <t>TROSA</t>
        </is>
      </c>
      <c r="I42" t="n">
        <v>7.1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35058-2024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45527</v>
      </c>
      <c r="E43" s="1" t="n">
        <v>46307</v>
      </c>
      <c r="F43" t="inlineStr">
        <is>
          <t>SÖDERMANLANDS LÄN</t>
        </is>
      </c>
      <c r="G43" t="inlineStr">
        <is>
          <t>TROSA</t>
        </is>
      </c>
      <c r="I43" t="n">
        <v>0.4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6124-2022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44599</v>
      </c>
      <c r="E44" s="1" t="n">
        <v>46307</v>
      </c>
      <c r="F44" t="inlineStr">
        <is>
          <t>SÖDERMANLANDS LÄN</t>
        </is>
      </c>
      <c r="G44" t="inlineStr">
        <is>
          <t>TROSA</t>
        </is>
      </c>
      <c r="H44" t="inlineStr">
        <is>
          <t>Holmen skog AB</t>
        </is>
      </c>
      <c r="I44" t="n">
        <v>0.7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48793-2024</t>
        </is>
      </c>
      <c r="B45" t="inlineStr">
        <is>
          <t>avverkningsanmälan</t>
        </is>
      </c>
      <c r="C45" t="inlineStr">
        <is>
          <t>Avverkning för annat ändamål</t>
        </is>
      </c>
      <c r="D45" s="1" t="n">
        <v>45593</v>
      </c>
      <c r="E45" s="1" t="n">
        <v>46307</v>
      </c>
      <c r="F45" t="inlineStr">
        <is>
          <t>SÖDERMANLANDS LÄN</t>
        </is>
      </c>
      <c r="G45" t="inlineStr">
        <is>
          <t>TROSA</t>
        </is>
      </c>
      <c r="I45" t="n">
        <v>3.2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39827-2024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45553</v>
      </c>
      <c r="E46" s="1" t="n">
        <v>46307</v>
      </c>
      <c r="F46" t="inlineStr">
        <is>
          <t>SÖDERMANLANDS LÄN</t>
        </is>
      </c>
      <c r="G46" t="inlineStr">
        <is>
          <t>TROSA</t>
        </is>
      </c>
      <c r="I46" t="n">
        <v>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62474-2022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44916</v>
      </c>
      <c r="E47" s="1" t="n">
        <v>46307</v>
      </c>
      <c r="F47" t="inlineStr">
        <is>
          <t>SÖDERMANLANDS LÄN</t>
        </is>
      </c>
      <c r="G47" t="inlineStr">
        <is>
          <t>TROSA</t>
        </is>
      </c>
      <c r="H47" t="inlineStr">
        <is>
          <t>Övriga Aktiebolag</t>
        </is>
      </c>
      <c r="I47" t="n">
        <v>0.6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13810-2023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45007</v>
      </c>
      <c r="E48" s="1" t="n">
        <v>46307</v>
      </c>
      <c r="F48" t="inlineStr">
        <is>
          <t>SÖDERMANLANDS LÄN</t>
        </is>
      </c>
      <c r="G48" t="inlineStr">
        <is>
          <t>TROSA</t>
        </is>
      </c>
      <c r="H48" t="inlineStr">
        <is>
          <t>Holmen skog AB</t>
        </is>
      </c>
      <c r="I48" t="n">
        <v>0.7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16029-2023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45027</v>
      </c>
      <c r="E49" s="1" t="n">
        <v>46307</v>
      </c>
      <c r="F49" t="inlineStr">
        <is>
          <t>SÖDERMANLANDS LÄN</t>
        </is>
      </c>
      <c r="G49" t="inlineStr">
        <is>
          <t>TROSA</t>
        </is>
      </c>
      <c r="H49" t="inlineStr">
        <is>
          <t>Holmen skog AB</t>
        </is>
      </c>
      <c r="I49" t="n">
        <v>4.6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35054-2024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45527</v>
      </c>
      <c r="E50" s="1" t="n">
        <v>46307</v>
      </c>
      <c r="F50" t="inlineStr">
        <is>
          <t>SÖDERMANLANDS LÄN</t>
        </is>
      </c>
      <c r="G50" t="inlineStr">
        <is>
          <t>TROSA</t>
        </is>
      </c>
      <c r="I50" t="n">
        <v>1.5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48314-2025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45933</v>
      </c>
      <c r="E51" s="1" t="n">
        <v>46307</v>
      </c>
      <c r="F51" t="inlineStr">
        <is>
          <t>SÖDERMANLANDS LÄN</t>
        </is>
      </c>
      <c r="G51" t="inlineStr">
        <is>
          <t>TROSA</t>
        </is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7204-2024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45344</v>
      </c>
      <c r="E52" s="1" t="n">
        <v>46307</v>
      </c>
      <c r="F52" t="inlineStr">
        <is>
          <t>SÖDERMANLANDS LÄN</t>
        </is>
      </c>
      <c r="G52" t="inlineStr">
        <is>
          <t>TROSA</t>
        </is>
      </c>
      <c r="I52" t="n">
        <v>0.9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13675-2025</t>
        </is>
      </c>
      <c r="B53" t="inlineStr">
        <is>
          <t>avverkningsanmälan</t>
        </is>
      </c>
      <c r="C53" t="inlineStr">
        <is>
          <t>Avverkning för annat ändamål</t>
        </is>
      </c>
      <c r="D53" s="1" t="n">
        <v>45736</v>
      </c>
      <c r="E53" s="1" t="n">
        <v>46307</v>
      </c>
      <c r="F53" t="inlineStr">
        <is>
          <t>SÖDERMANLANDS LÄN</t>
        </is>
      </c>
      <c r="G53" t="inlineStr">
        <is>
          <t>TROSA</t>
        </is>
      </c>
      <c r="I53" t="n">
        <v>1.4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6102-2022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44599</v>
      </c>
      <c r="E54" s="1" t="n">
        <v>46307</v>
      </c>
      <c r="F54" t="inlineStr">
        <is>
          <t>SÖDERMANLANDS LÄN</t>
        </is>
      </c>
      <c r="G54" t="inlineStr">
        <is>
          <t>TROSA</t>
        </is>
      </c>
      <c r="I54" t="n">
        <v>3.7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55257-2025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45968</v>
      </c>
      <c r="E55" s="1" t="n">
        <v>46307</v>
      </c>
      <c r="F55" t="inlineStr">
        <is>
          <t>SÖDERMANLANDS LÄN</t>
        </is>
      </c>
      <c r="G55" t="inlineStr">
        <is>
          <t>TROSA</t>
        </is>
      </c>
      <c r="H55" t="inlineStr">
        <is>
          <t>Holmen skog AB</t>
        </is>
      </c>
      <c r="I55" t="n">
        <v>1.6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44720-2022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44840</v>
      </c>
      <c r="E56" s="1" t="n">
        <v>46307</v>
      </c>
      <c r="F56" t="inlineStr">
        <is>
          <t>SÖDERMANLANDS LÄN</t>
        </is>
      </c>
      <c r="G56" t="inlineStr">
        <is>
          <t>TROSA</t>
        </is>
      </c>
      <c r="I56" t="n">
        <v>0.9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55265-2025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45968</v>
      </c>
      <c r="E57" s="1" t="n">
        <v>46307</v>
      </c>
      <c r="F57" t="inlineStr">
        <is>
          <t>SÖDERMANLANDS LÄN</t>
        </is>
      </c>
      <c r="G57" t="inlineStr">
        <is>
          <t>TROSA</t>
        </is>
      </c>
      <c r="H57" t="inlineStr">
        <is>
          <t>Holmen skog AB</t>
        </is>
      </c>
      <c r="I57" t="n">
        <v>3.5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64286-2023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45280</v>
      </c>
      <c r="E58" s="1" t="n">
        <v>46307</v>
      </c>
      <c r="F58" t="inlineStr">
        <is>
          <t>SÖDERMANLANDS LÄN</t>
        </is>
      </c>
      <c r="G58" t="inlineStr">
        <is>
          <t>TROSA</t>
        </is>
      </c>
      <c r="I58" t="n">
        <v>2.7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57342-2025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45979</v>
      </c>
      <c r="E59" s="1" t="n">
        <v>46307</v>
      </c>
      <c r="F59" t="inlineStr">
        <is>
          <t>SÖDERMANLANDS LÄN</t>
        </is>
      </c>
      <c r="G59" t="inlineStr">
        <is>
          <t>TROSA</t>
        </is>
      </c>
      <c r="H59" t="inlineStr">
        <is>
          <t>Övriga Aktiebolag</t>
        </is>
      </c>
      <c r="I59" t="n">
        <v>0.7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57338-2025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45979</v>
      </c>
      <c r="E60" s="1" t="n">
        <v>46307</v>
      </c>
      <c r="F60" t="inlineStr">
        <is>
          <t>SÖDERMANLANDS LÄN</t>
        </is>
      </c>
      <c r="G60" t="inlineStr">
        <is>
          <t>TROSA</t>
        </is>
      </c>
      <c r="H60" t="inlineStr">
        <is>
          <t>Övriga Aktiebolag</t>
        </is>
      </c>
      <c r="I60" t="n">
        <v>0.5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57344-2025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45979</v>
      </c>
      <c r="E61" s="1" t="n">
        <v>46307</v>
      </c>
      <c r="F61" t="inlineStr">
        <is>
          <t>SÖDERMANLANDS LÄN</t>
        </is>
      </c>
      <c r="G61" t="inlineStr">
        <is>
          <t>TROSA</t>
        </is>
      </c>
      <c r="H61" t="inlineStr">
        <is>
          <t>Övriga Aktiebolag</t>
        </is>
      </c>
      <c r="I61" t="n">
        <v>0.7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13829-2023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45007</v>
      </c>
      <c r="E62" s="1" t="n">
        <v>46307</v>
      </c>
      <c r="F62" t="inlineStr">
        <is>
          <t>SÖDERMANLANDS LÄN</t>
        </is>
      </c>
      <c r="G62" t="inlineStr">
        <is>
          <t>TROSA</t>
        </is>
      </c>
      <c r="H62" t="inlineStr">
        <is>
          <t>Holmen skog AB</t>
        </is>
      </c>
      <c r="I62" t="n">
        <v>0.5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59222-2025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45988</v>
      </c>
      <c r="E63" s="1" t="n">
        <v>46307</v>
      </c>
      <c r="F63" t="inlineStr">
        <is>
          <t>SÖDERMANLANDS LÄN</t>
        </is>
      </c>
      <c r="G63" t="inlineStr">
        <is>
          <t>TROSA</t>
        </is>
      </c>
      <c r="H63" t="inlineStr">
        <is>
          <t>Holmen skog AB</t>
        </is>
      </c>
      <c r="I63" t="n">
        <v>0.6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44579-2022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44840</v>
      </c>
      <c r="E64" s="1" t="n">
        <v>46307</v>
      </c>
      <c r="F64" t="inlineStr">
        <is>
          <t>SÖDERMANLANDS LÄN</t>
        </is>
      </c>
      <c r="G64" t="inlineStr">
        <is>
          <t>TROSA</t>
        </is>
      </c>
      <c r="I64" t="n">
        <v>2.8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32213-2025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45835</v>
      </c>
      <c r="E65" s="1" t="n">
        <v>46307</v>
      </c>
      <c r="F65" t="inlineStr">
        <is>
          <t>SÖDERMANLANDS LÄN</t>
        </is>
      </c>
      <c r="G65" t="inlineStr">
        <is>
          <t>TROSA</t>
        </is>
      </c>
      <c r="I65" t="n">
        <v>3.5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17600-2022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44680</v>
      </c>
      <c r="E66" s="1" t="n">
        <v>46307</v>
      </c>
      <c r="F66" t="inlineStr">
        <is>
          <t>SÖDERMANLANDS LÄN</t>
        </is>
      </c>
      <c r="G66" t="inlineStr">
        <is>
          <t>TROSA</t>
        </is>
      </c>
      <c r="I66" t="n">
        <v>7.7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31166-2025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45832</v>
      </c>
      <c r="E67" s="1" t="n">
        <v>46307</v>
      </c>
      <c r="F67" t="inlineStr">
        <is>
          <t>SÖDERMANLANDS LÄN</t>
        </is>
      </c>
      <c r="G67" t="inlineStr">
        <is>
          <t>TROSA</t>
        </is>
      </c>
      <c r="I67" t="n">
        <v>3.1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3346-2026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46041</v>
      </c>
      <c r="E68" s="1" t="n">
        <v>46307</v>
      </c>
      <c r="F68" t="inlineStr">
        <is>
          <t>SÖDERMANLANDS LÄN</t>
        </is>
      </c>
      <c r="G68" t="inlineStr">
        <is>
          <t>TROSA</t>
        </is>
      </c>
      <c r="I68" t="n">
        <v>3.3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3337-2026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46041</v>
      </c>
      <c r="E69" s="1" t="n">
        <v>46307</v>
      </c>
      <c r="F69" t="inlineStr">
        <is>
          <t>SÖDERMANLANDS LÄN</t>
        </is>
      </c>
      <c r="G69" t="inlineStr">
        <is>
          <t>TROSA</t>
        </is>
      </c>
      <c r="I69" t="n">
        <v>6.3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15169-2023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45016</v>
      </c>
      <c r="E70" s="1" t="n">
        <v>46307</v>
      </c>
      <c r="F70" t="inlineStr">
        <is>
          <t>SÖDERMANLANDS LÄN</t>
        </is>
      </c>
      <c r="G70" t="inlineStr">
        <is>
          <t>TROSA</t>
        </is>
      </c>
      <c r="H70" t="inlineStr">
        <is>
          <t>Holmen skog AB</t>
        </is>
      </c>
      <c r="I70" t="n">
        <v>0.6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36712-2024</t>
        </is>
      </c>
      <c r="B71" t="inlineStr">
        <is>
          <t>avverkningsanmälan</t>
        </is>
      </c>
      <c r="C71" t="inlineStr">
        <is>
          <t>Avverkning för annat ändamål</t>
        </is>
      </c>
      <c r="D71" s="1" t="n">
        <v>45537</v>
      </c>
      <c r="E71" s="1" t="n">
        <v>46307</v>
      </c>
      <c r="F71" t="inlineStr">
        <is>
          <t>SÖDERMANLANDS LÄN</t>
        </is>
      </c>
      <c r="G71" t="inlineStr">
        <is>
          <t>TROSA</t>
        </is>
      </c>
      <c r="H71" t="inlineStr">
        <is>
          <t>Övriga Aktiebolag</t>
        </is>
      </c>
      <c r="I71" t="n">
        <v>6.6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20191-2026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46139</v>
      </c>
      <c r="E72" s="1" t="n">
        <v>46307</v>
      </c>
      <c r="F72" t="inlineStr">
        <is>
          <t>SÖDERMANLANDS LÄN</t>
        </is>
      </c>
      <c r="G72" t="inlineStr">
        <is>
          <t>TROSA</t>
        </is>
      </c>
      <c r="I72" t="n">
        <v>1.2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10393-2026</t>
        </is>
      </c>
      <c r="B73" t="inlineStr">
        <is>
          <t>avverkningsanmälan</t>
        </is>
      </c>
      <c r="C73" t="inlineStr">
        <is>
          <t>Avverkning för annat ändamål</t>
        </is>
      </c>
      <c r="D73" s="1" t="n">
        <v>46077</v>
      </c>
      <c r="E73" s="1" t="n">
        <v>46307</v>
      </c>
      <c r="F73" t="inlineStr">
        <is>
          <t>SÖDERMANLANDS LÄN</t>
        </is>
      </c>
      <c r="G73" t="inlineStr">
        <is>
          <t>TROSA</t>
        </is>
      </c>
      <c r="I73" t="n">
        <v>0.8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11069-2026</t>
        </is>
      </c>
      <c r="B74" t="inlineStr">
        <is>
          <t>avverkningsanmälan</t>
        </is>
      </c>
      <c r="C74" t="inlineStr">
        <is>
          <t>Avverkning för annat ändamål</t>
        </is>
      </c>
      <c r="D74" s="1" t="n">
        <v>46079</v>
      </c>
      <c r="E74" s="1" t="n">
        <v>46307</v>
      </c>
      <c r="F74" t="inlineStr">
        <is>
          <t>SÖDERMANLANDS LÄN</t>
        </is>
      </c>
      <c r="G74" t="inlineStr">
        <is>
          <t>TROSA</t>
        </is>
      </c>
      <c r="I74" t="n">
        <v>5.2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11119-2026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46079</v>
      </c>
      <c r="E75" s="1" t="n">
        <v>46307</v>
      </c>
      <c r="F75" t="inlineStr">
        <is>
          <t>SÖDERMANLANDS LÄN</t>
        </is>
      </c>
      <c r="G75" t="inlineStr">
        <is>
          <t>TROSA</t>
        </is>
      </c>
      <c r="I75" t="n">
        <v>3.9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11039-2026</t>
        </is>
      </c>
      <c r="B76" t="inlineStr">
        <is>
          <t>avverkningsanmälan</t>
        </is>
      </c>
      <c r="C76" t="inlineStr">
        <is>
          <t>Avverkning för annat ändamål</t>
        </is>
      </c>
      <c r="D76" s="1" t="n">
        <v>46079</v>
      </c>
      <c r="E76" s="1" t="n">
        <v>46307</v>
      </c>
      <c r="F76" t="inlineStr">
        <is>
          <t>SÖDERMANLANDS LÄN</t>
        </is>
      </c>
      <c r="G76" t="inlineStr">
        <is>
          <t>TROSA</t>
        </is>
      </c>
      <c r="I76" t="n">
        <v>5.3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11083-2026</t>
        </is>
      </c>
      <c r="B77" t="inlineStr">
        <is>
          <t>avverkningsanmälan</t>
        </is>
      </c>
      <c r="C77" t="inlineStr">
        <is>
          <t>Avverkning för annat ändamål</t>
        </is>
      </c>
      <c r="D77" s="1" t="n">
        <v>46079</v>
      </c>
      <c r="E77" s="1" t="n">
        <v>46307</v>
      </c>
      <c r="F77" t="inlineStr">
        <is>
          <t>SÖDERMANLANDS LÄN</t>
        </is>
      </c>
      <c r="G77" t="inlineStr">
        <is>
          <t>TROSA</t>
        </is>
      </c>
      <c r="I77" t="n">
        <v>1.7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12574-2026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46090</v>
      </c>
      <c r="E78" s="1" t="n">
        <v>46307</v>
      </c>
      <c r="F78" t="inlineStr">
        <is>
          <t>SÖDERMANLANDS LÄN</t>
        </is>
      </c>
      <c r="G78" t="inlineStr">
        <is>
          <t>TROSA</t>
        </is>
      </c>
      <c r="I78" t="n">
        <v>5.1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11103-2026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46079</v>
      </c>
      <c r="E79" s="1" t="n">
        <v>46307</v>
      </c>
      <c r="F79" t="inlineStr">
        <is>
          <t>SÖDERMANLANDS LÄN</t>
        </is>
      </c>
      <c r="G79" t="inlineStr">
        <is>
          <t>TROSA</t>
        </is>
      </c>
      <c r="I79" t="n">
        <v>5.6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36944-2026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46273</v>
      </c>
      <c r="E80" s="1" t="n">
        <v>46307</v>
      </c>
      <c r="F80" t="inlineStr">
        <is>
          <t>SÖDERMANLANDS LÄN</t>
        </is>
      </c>
      <c r="G80" t="inlineStr">
        <is>
          <t>TROSA</t>
        </is>
      </c>
      <c r="I80" t="n">
        <v>4.4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S 4203-2023</t>
        </is>
      </c>
      <c r="B81" t="inlineStr">
        <is>
          <t>samrådsanmälan</t>
        </is>
      </c>
      <c r="C81" t="inlineStr">
        <is>
          <t>Annan skogsbruksåtgärd</t>
        </is>
      </c>
      <c r="D81" s="1" t="n">
        <v>45253</v>
      </c>
      <c r="E81" s="1" t="n">
        <v>46307</v>
      </c>
      <c r="F81" t="inlineStr">
        <is>
          <t>SÖDERMANLANDS LÄN</t>
        </is>
      </c>
      <c r="G81" t="inlineStr">
        <is>
          <t>TROSA</t>
        </is>
      </c>
      <c r="I81" t="n">
        <v>3.6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>
      <c r="A82" t="inlineStr">
        <is>
          <t>S 632-2025</t>
        </is>
      </c>
      <c r="B82" t="inlineStr">
        <is>
          <t>samrådsanmälan</t>
        </is>
      </c>
      <c r="C82" t="inlineStr">
        <is>
          <t>Skogsgödsling</t>
        </is>
      </c>
      <c r="D82" s="1" t="n">
        <v>45714</v>
      </c>
      <c r="E82" s="1" t="n">
        <v>46307</v>
      </c>
      <c r="F82" t="inlineStr">
        <is>
          <t>SÖDERMANLANDS LÄN</t>
        </is>
      </c>
      <c r="G82" t="inlineStr">
        <is>
          <t>TROSA</t>
        </is>
      </c>
      <c r="H82" t="inlineStr">
        <is>
          <t>Holmen skog AB</t>
        </is>
      </c>
      <c r="I82" t="n">
        <v>36.2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2026-10-12T02:04:34Z</dcterms:created>
  <dcterms:modified xmlns:dcterms="http://purl.org/dc/terms/" xmlns:xsi="http://www.w3.org/2001/XMLSchema-instance" xsi:type="dcterms:W3CDTF">2026-10-12T02:04:34Z</dcterms:modified>
</cp:coreProperties>
</file>