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46227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46227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13760-2022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44649</v>
      </c>
      <c r="E4" s="1" t="n">
        <v>46227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</v>
      </c>
      <c r="J4" t="n">
        <v>3</v>
      </c>
      <c r="K4" t="n">
        <v>1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6</v>
      </c>
      <c r="U4" t="n">
        <v>3</v>
      </c>
      <c r="V4" s="2" t="inlineStr">
        <is>
          <t>Ask
Tofsvipa
Gullpudra
Kricka
Strutbräken
Sångsvan</t>
        </is>
      </c>
      <c r="W4">
        <f>HYPERLINK("https://klasma.github.io/Logging_0488/artfynd/A 13760-2022 artfynd.xlsx", "A 13760-2022")</f>
        <v/>
      </c>
      <c r="X4">
        <f>HYPERLINK("https://klasma.github.io/Logging_0488/kartor/A 13760-2022 karta.png", "A 13760-2022")</f>
        <v/>
      </c>
      <c r="Y4">
        <f>HYPERLINK("https://klasma.github.io/Logging_0488/kartor_geotiff/A 13760-2022 georefererad karta.tif", "A 13760-2022")</f>
        <v/>
      </c>
      <c r="AA4">
        <f>HYPERLINK("https://klasma.github.io/Logging_0488/klagomål/A 13760-2022 FSC-klagomål.docx", "A 13760-2022")</f>
        <v/>
      </c>
      <c r="AB4">
        <f>HYPERLINK("https://klasma.github.io/Logging_0488/klagomålsmail/A 13760-2022 FSC-klagomål mail.docx", "A 13760-2022")</f>
        <v/>
      </c>
      <c r="AC4">
        <f>HYPERLINK("https://klasma.github.io/Logging_0488/tillsyn/A 13760-2022 tillsynsbegäran.docx", "A 13760-2022")</f>
        <v/>
      </c>
      <c r="AD4">
        <f>HYPERLINK("https://klasma.github.io/Logging_0488/tillsynsmail/A 13760-2022 tillsynsbegäran mail.docx", "A 13760-2022")</f>
        <v/>
      </c>
      <c r="AE4">
        <f>HYPERLINK("https://klasma.github.io/Logging_0488/fåglar/A 13760-2022 prioriterade fågelarter.docx", "A 13760-2022")</f>
        <v/>
      </c>
    </row>
    <row r="5" ht="15" customHeight="1">
      <c r="A5" t="inlineStr">
        <is>
          <t>A 53869-2024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45614</v>
      </c>
      <c r="E5" s="1" t="n">
        <v>46227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20</v>
      </c>
      <c r="J5" t="n">
        <v>3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6</v>
      </c>
      <c r="U5" t="n">
        <v>5</v>
      </c>
      <c r="V5" s="2" t="inlineStr">
        <is>
          <t>Gullpudra
Kricka
Älg
Stubbspretmossa
Spillkråka
Kungsfågel</t>
        </is>
      </c>
      <c r="W5">
        <f>HYPERLINK("https://klasma.github.io/Logging_0488/artfynd/A 53869-2024 artfynd.xlsx", "A 53869-2024")</f>
        <v/>
      </c>
      <c r="X5">
        <f>HYPERLINK("https://klasma.github.io/Logging_0488/kartor/A 53869-2024 karta.png", "A 53869-2024")</f>
        <v/>
      </c>
      <c r="Y5">
        <f>HYPERLINK("https://klasma.github.io/Logging_0488/kartor_geotiff/A 53869-2024 georefererad karta.tif", "A 53869-2024")</f>
        <v/>
      </c>
      <c r="AA5">
        <f>HYPERLINK("https://klasma.github.io/Logging_0488/klagomål/A 53869-2024 FSC-klagomål.docx", "A 53869-2024")</f>
        <v/>
      </c>
      <c r="AB5">
        <f>HYPERLINK("https://klasma.github.io/Logging_0488/klagomålsmail/A 53869-2024 FSC-klagomål mail.docx", "A 53869-2024")</f>
        <v/>
      </c>
      <c r="AC5">
        <f>HYPERLINK("https://klasma.github.io/Logging_0488/tillsyn/A 53869-2024 tillsynsbegäran.docx", "A 53869-2024")</f>
        <v/>
      </c>
      <c r="AD5">
        <f>HYPERLINK("https://klasma.github.io/Logging_0488/tillsynsmail/A 53869-2024 tillsynsbegäran mail.docx", "A 53869-2024")</f>
        <v/>
      </c>
      <c r="AE5">
        <f>HYPERLINK("https://klasma.github.io/Logging_0488/fåglar/A 53869-2024 prioriterade fågelarter.docx", "A 53869-2024")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46227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46227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46227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46227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46227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46227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46227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46227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46227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46227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46227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46227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HYPERLINK("https://klasma.github.io/Logging_0488/artfynd/A 10390-2026 artfynd.xlsx", "A 10390-2026")</f>
        <v/>
      </c>
      <c r="X17">
        <f>HYPERLINK("https://klasma.github.io/Logging_0488/kartor/A 10390-2026 karta.png", "A 10390-2026")</f>
        <v/>
      </c>
      <c r="Y17">
        <f>HYPERLINK("https://klasma.github.io/Logging_0488/kartor_geotiff/A 10390-2026 georefererad karta.tif", "A 10390-2026")</f>
        <v/>
      </c>
      <c r="AA17">
        <f>HYPERLINK("https://klasma.github.io/Logging_0488/klagomål/A 10390-2026 FSC-klagomål.docx", "A 10390-2026")</f>
        <v/>
      </c>
      <c r="AB17">
        <f>HYPERLINK("https://klasma.github.io/Logging_0488/klagomålsmail/A 10390-2026 FSC-klagomål mail.docx", "A 10390-2026")</f>
        <v/>
      </c>
      <c r="AC17">
        <f>HYPERLINK("https://klasma.github.io/Logging_0488/tillsyn/A 10390-2026 tillsynsbegäran.docx", "A 10390-2026")</f>
        <v/>
      </c>
      <c r="AD17">
        <f>HYPERLINK("https://klasma.github.io/Logging_0488/tillsynsmail/A 10390-2026 tillsynsbegäran mail.docx", "A 10390-2026")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46227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46227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46227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46227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46227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46227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46227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46227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46227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46227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46227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46227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35058-2024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46227</v>
      </c>
      <c r="F30" t="inlineStr">
        <is>
          <t>SÖDERMANLANDS LÄN</t>
        </is>
      </c>
      <c r="G30" t="inlineStr">
        <is>
          <t>TROSA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48793-2024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45593</v>
      </c>
      <c r="E31" s="1" t="n">
        <v>46227</v>
      </c>
      <c r="F31" t="inlineStr">
        <is>
          <t>SÖDERMANLANDS LÄN</t>
        </is>
      </c>
      <c r="G31" t="inlineStr">
        <is>
          <t>TROSA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46227</v>
      </c>
      <c r="F32" t="inlineStr">
        <is>
          <t>SÖDERMANLANDS LÄN</t>
        </is>
      </c>
      <c r="G32" t="inlineStr">
        <is>
          <t>TROSA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36709-2024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46227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36711-2024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45537</v>
      </c>
      <c r="E34" s="1" t="n">
        <v>46227</v>
      </c>
      <c r="F34" t="inlineStr">
        <is>
          <t>SÖDERMANLANDS LÄN</t>
        </is>
      </c>
      <c r="G34" t="inlineStr">
        <is>
          <t>TROSA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44937</v>
      </c>
      <c r="E35" s="1" t="n">
        <v>46227</v>
      </c>
      <c r="F35" t="inlineStr">
        <is>
          <t>SÖDERMANLANDS LÄN</t>
        </is>
      </c>
      <c r="G35" t="inlineStr">
        <is>
          <t>TROSA</t>
        </is>
      </c>
      <c r="I35" t="n">
        <v>7.1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55257-2025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45968</v>
      </c>
      <c r="E36" s="1" t="n">
        <v>46227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46227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46227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44916</v>
      </c>
      <c r="E39" s="1" t="n">
        <v>46227</v>
      </c>
      <c r="F39" t="inlineStr">
        <is>
          <t>SÖDERMANLANDS LÄN</t>
        </is>
      </c>
      <c r="G39" t="inlineStr">
        <is>
          <t>TROSA</t>
        </is>
      </c>
      <c r="H39" t="inlineStr">
        <is>
          <t>Övriga Aktiebolag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13810-2023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45007</v>
      </c>
      <c r="E40" s="1" t="n">
        <v>46227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16029-2023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45027</v>
      </c>
      <c r="E41" s="1" t="n">
        <v>46227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46227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46227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46227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59222-2025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46227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7204-2024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45344</v>
      </c>
      <c r="E46" s="1" t="n">
        <v>46227</v>
      </c>
      <c r="F46" t="inlineStr">
        <is>
          <t>SÖDERMANLANDS LÄN</t>
        </is>
      </c>
      <c r="G46" t="inlineStr">
        <is>
          <t>TROSA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44599</v>
      </c>
      <c r="E47" s="1" t="n">
        <v>46227</v>
      </c>
      <c r="F47" t="inlineStr">
        <is>
          <t>SÖDERMANLANDS LÄN</t>
        </is>
      </c>
      <c r="G47" t="inlineStr">
        <is>
          <t>TROSA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48314-2025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45933</v>
      </c>
      <c r="E48" s="1" t="n">
        <v>46227</v>
      </c>
      <c r="F48" t="inlineStr">
        <is>
          <t>SÖDERMANLANDS LÄN</t>
        </is>
      </c>
      <c r="G48" t="inlineStr">
        <is>
          <t>TROSA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46041</v>
      </c>
      <c r="E49" s="1" t="n">
        <v>46227</v>
      </c>
      <c r="F49" t="inlineStr">
        <is>
          <t>SÖDERMANLANDS LÄN</t>
        </is>
      </c>
      <c r="G49" t="inlineStr">
        <is>
          <t>TROSA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46041</v>
      </c>
      <c r="E50" s="1" t="n">
        <v>46227</v>
      </c>
      <c r="F50" t="inlineStr">
        <is>
          <t>SÖDERMANLANDS LÄN</t>
        </is>
      </c>
      <c r="G50" t="inlineStr">
        <is>
          <t>TROSA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13829-2023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45007</v>
      </c>
      <c r="E51" s="1" t="n">
        <v>46227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10393-2026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46077</v>
      </c>
      <c r="E52" s="1" t="n">
        <v>46227</v>
      </c>
      <c r="F52" t="inlineStr">
        <is>
          <t>SÖDERMANLANDS LÄN</t>
        </is>
      </c>
      <c r="G52" t="inlineStr">
        <is>
          <t>TROSA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62473-2022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44916</v>
      </c>
      <c r="E53" s="1" t="n">
        <v>46227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11069-2026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46079</v>
      </c>
      <c r="E54" s="1" t="n">
        <v>46227</v>
      </c>
      <c r="F54" t="inlineStr">
        <is>
          <t>SÖDERMANLANDS LÄN</t>
        </is>
      </c>
      <c r="G54" t="inlineStr">
        <is>
          <t>TROSA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11119-2026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46079</v>
      </c>
      <c r="E55" s="1" t="n">
        <v>46227</v>
      </c>
      <c r="F55" t="inlineStr">
        <is>
          <t>SÖDERMANLANDS LÄN</t>
        </is>
      </c>
      <c r="G55" t="inlineStr">
        <is>
          <t>TROSA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11039-2026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46079</v>
      </c>
      <c r="E56" s="1" t="n">
        <v>46227</v>
      </c>
      <c r="F56" t="inlineStr">
        <is>
          <t>SÖDERMANLANDS LÄN</t>
        </is>
      </c>
      <c r="G56" t="inlineStr">
        <is>
          <t>TROSA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11083-2026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46079</v>
      </c>
      <c r="E57" s="1" t="n">
        <v>46227</v>
      </c>
      <c r="F57" t="inlineStr">
        <is>
          <t>SÖDERMANLANDS LÄN</t>
        </is>
      </c>
      <c r="G57" t="inlineStr">
        <is>
          <t>TROSA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12574-2026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46090</v>
      </c>
      <c r="E58" s="1" t="n">
        <v>46227</v>
      </c>
      <c r="F58" t="inlineStr">
        <is>
          <t>SÖDERMANLANDS LÄN</t>
        </is>
      </c>
      <c r="G58" t="inlineStr">
        <is>
          <t>TROSA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45379</v>
      </c>
      <c r="E59" s="1" t="n">
        <v>46227</v>
      </c>
      <c r="F59" t="inlineStr">
        <is>
          <t>SÖDERMANLANDS LÄN</t>
        </is>
      </c>
      <c r="G59" t="inlineStr">
        <is>
          <t>TROSA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11743-2024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46227</v>
      </c>
      <c r="F60" t="inlineStr">
        <is>
          <t>SÖDERMANLANDS LÄN</t>
        </is>
      </c>
      <c r="G60" t="inlineStr">
        <is>
          <t>TROSA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39827-2024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45553</v>
      </c>
      <c r="E61" s="1" t="n">
        <v>46227</v>
      </c>
      <c r="F61" t="inlineStr">
        <is>
          <t>SÖDERMANLANDS LÄN</t>
        </is>
      </c>
      <c r="G61" t="inlineStr">
        <is>
          <t>TROSA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32213-2025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45835</v>
      </c>
      <c r="E62" s="1" t="n">
        <v>46227</v>
      </c>
      <c r="F62" t="inlineStr">
        <is>
          <t>SÖDERMANLANDS LÄN</t>
        </is>
      </c>
      <c r="G62" t="inlineStr">
        <is>
          <t>TROSA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31166-2025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45832</v>
      </c>
      <c r="E63" s="1" t="n">
        <v>46227</v>
      </c>
      <c r="F63" t="inlineStr">
        <is>
          <t>SÖDERMANLANDS LÄN</t>
        </is>
      </c>
      <c r="G63" t="inlineStr">
        <is>
          <t>TROSA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13675-2025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45736</v>
      </c>
      <c r="E64" s="1" t="n">
        <v>46227</v>
      </c>
      <c r="F64" t="inlineStr">
        <is>
          <t>SÖDERMANLANDS LÄN</t>
        </is>
      </c>
      <c r="G64" t="inlineStr">
        <is>
          <t>TROSA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20191-2026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46227</v>
      </c>
      <c r="F65" t="inlineStr">
        <is>
          <t>SÖDERMANLANDS LÄN</t>
        </is>
      </c>
      <c r="G65" t="inlineStr">
        <is>
          <t>TROSA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44720-2022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46227</v>
      </c>
      <c r="F66" t="inlineStr">
        <is>
          <t>SÖDERMANLANDS LÄN</t>
        </is>
      </c>
      <c r="G66" t="inlineStr">
        <is>
          <t>TROSA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64286-2023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46227</v>
      </c>
      <c r="F67" t="inlineStr">
        <is>
          <t>SÖDERMANLANDS LÄN</t>
        </is>
      </c>
      <c r="G67" t="inlineStr">
        <is>
          <t>TROSA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11103-2026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46079</v>
      </c>
      <c r="E68" s="1" t="n">
        <v>46227</v>
      </c>
      <c r="F68" t="inlineStr">
        <is>
          <t>SÖDERMANLANDS LÄN</t>
        </is>
      </c>
      <c r="G68" t="inlineStr">
        <is>
          <t>TROSA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46227</v>
      </c>
      <c r="F69" t="inlineStr">
        <is>
          <t>SÖDERMANLANDS LÄN</t>
        </is>
      </c>
      <c r="G69" t="inlineStr">
        <is>
          <t>TROSA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17600-2022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44680</v>
      </c>
      <c r="E70" s="1" t="n">
        <v>46227</v>
      </c>
      <c r="F70" t="inlineStr">
        <is>
          <t>SÖDERMANLANDS LÄN</t>
        </is>
      </c>
      <c r="G70" t="inlineStr">
        <is>
          <t>TROSA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15169-2023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46227</v>
      </c>
      <c r="F71" t="inlineStr">
        <is>
          <t>SÖDERMANLANDS LÄN</t>
        </is>
      </c>
      <c r="G71" t="inlineStr">
        <is>
          <t>TROSA</t>
        </is>
      </c>
      <c r="H71" t="inlineStr">
        <is>
          <t>Holmen skog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36712-2024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45537</v>
      </c>
      <c r="E72" s="1" t="n">
        <v>46227</v>
      </c>
      <c r="F72" t="inlineStr">
        <is>
          <t>SÖDERMANLANDS LÄN</t>
        </is>
      </c>
      <c r="G72" t="inlineStr">
        <is>
          <t>TROSA</t>
        </is>
      </c>
      <c r="H72" t="inlineStr">
        <is>
          <t>Övriga Aktiebolag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45007</v>
      </c>
      <c r="E73" s="1" t="n">
        <v>46227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46227</v>
      </c>
      <c r="F74" t="inlineStr">
        <is>
          <t>SÖDERMANLANDS LÄN</t>
        </is>
      </c>
      <c r="G74" t="inlineStr">
        <is>
          <t>TROSA</t>
        </is>
      </c>
      <c r="H74" t="inlineStr">
        <is>
          <t>Kommuner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11742-2024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45373</v>
      </c>
      <c r="E75" s="1" t="n">
        <v>46227</v>
      </c>
      <c r="F75" t="inlineStr">
        <is>
          <t>SÖDERMANLANDS LÄN</t>
        </is>
      </c>
      <c r="G75" t="inlineStr">
        <is>
          <t>TROSA</t>
        </is>
      </c>
      <c r="H75" t="inlineStr">
        <is>
          <t>Kommuner</t>
        </is>
      </c>
      <c r="I75" t="n">
        <v>8.199999999999999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44937</v>
      </c>
      <c r="E76" s="1" t="n">
        <v>46227</v>
      </c>
      <c r="F76" t="inlineStr">
        <is>
          <t>SÖDERMANLANDS LÄN</t>
        </is>
      </c>
      <c r="G76" t="inlineStr">
        <is>
          <t>TROSA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15293-2023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45019</v>
      </c>
      <c r="E77" s="1" t="n">
        <v>46227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36710-2024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45537</v>
      </c>
      <c r="E78" s="1" t="n">
        <v>46227</v>
      </c>
      <c r="F78" t="inlineStr">
        <is>
          <t>SÖDERMANLANDS LÄN</t>
        </is>
      </c>
      <c r="G78" t="inlineStr">
        <is>
          <t>TROSA</t>
        </is>
      </c>
      <c r="H78" t="inlineStr">
        <is>
          <t>Övriga Aktiebolag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45370</v>
      </c>
      <c r="E79" s="1" t="n">
        <v>46227</v>
      </c>
      <c r="F79" t="inlineStr">
        <is>
          <t>SÖDERMANLANDS LÄN</t>
        </is>
      </c>
      <c r="G79" t="inlineStr">
        <is>
          <t>TROSA</t>
        </is>
      </c>
      <c r="I79" t="n">
        <v>9.5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44756</v>
      </c>
      <c r="E80" s="1" t="n">
        <v>46227</v>
      </c>
      <c r="F80" t="inlineStr">
        <is>
          <t>SÖDERMANLANDS LÄN</t>
        </is>
      </c>
      <c r="G80" t="inlineStr">
        <is>
          <t>TROSA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46227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46227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2026-07-24T01:49:35Z</dcterms:created>
  <dcterms:modified xmlns:dcterms="http://purl.org/dc/terms/" xmlns:xsi="http://www.w3.org/2001/XMLSchema-instance" xsi:type="dcterms:W3CDTF">2026-07-24T01:49:35Z</dcterms:modified>
</cp:coreProperties>
</file>