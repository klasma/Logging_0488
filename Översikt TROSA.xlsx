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45884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45884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45884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45884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45884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48791-2024</t>
        </is>
      </c>
      <c r="B7" s="1" t="n">
        <v>45593</v>
      </c>
      <c r="C7" s="1" t="n">
        <v>45884</v>
      </c>
      <c r="D7" t="inlineStr">
        <is>
          <t>SÖDERMANLANDS LÄN</t>
        </is>
      </c>
      <c r="E7" t="inlineStr">
        <is>
          <t>TROSA</t>
        </is>
      </c>
      <c r="G7" t="n">
        <v>20.7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Svavelriska</t>
        </is>
      </c>
      <c r="S7">
        <f>HYPERLINK("https://klasma.github.io/Logging_0488/artfynd/A 48791-2024 artfynd.xlsx", "A 48791-2024")</f>
        <v/>
      </c>
      <c r="T7">
        <f>HYPERLINK("https://klasma.github.io/Logging_0488/kartor/A 48791-2024 karta.png", "A 48791-2024")</f>
        <v/>
      </c>
      <c r="V7">
        <f>HYPERLINK("https://klasma.github.io/Logging_0488/klagomål/A 48791-2024 FSC-klagomål.docx", "A 48791-2024")</f>
        <v/>
      </c>
      <c r="W7">
        <f>HYPERLINK("https://klasma.github.io/Logging_0488/klagomålsmail/A 48791-2024 FSC-klagomål mail.docx", "A 48791-2024")</f>
        <v/>
      </c>
      <c r="X7">
        <f>HYPERLINK("https://klasma.github.io/Logging_0488/tillsyn/A 48791-2024 tillsynsbegäran.docx", "A 48791-2024")</f>
        <v/>
      </c>
      <c r="Y7">
        <f>HYPERLINK("https://klasma.github.io/Logging_0488/tillsynsmail/A 48791-2024 tillsynsbegäran mail.docx", "A 48791-2024")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45884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45884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45884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45884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53869-2024</t>
        </is>
      </c>
      <c r="B12" s="1" t="n">
        <v>45614</v>
      </c>
      <c r="C12" s="1" t="n">
        <v>45884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20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53869-2024 artfynd.xlsx", "A 53869-2024")</f>
        <v/>
      </c>
      <c r="T12">
        <f>HYPERLINK("https://klasma.github.io/Logging_0488/kartor/A 53869-2024 karta.png", "A 53869-2024")</f>
        <v/>
      </c>
      <c r="V12">
        <f>HYPERLINK("https://klasma.github.io/Logging_0488/klagomål/A 53869-2024 FSC-klagomål.docx", "A 53869-2024")</f>
        <v/>
      </c>
      <c r="W12">
        <f>HYPERLINK("https://klasma.github.io/Logging_0488/klagomålsmail/A 53869-2024 FSC-klagomål mail.docx", "A 53869-2024")</f>
        <v/>
      </c>
      <c r="X12">
        <f>HYPERLINK("https://klasma.github.io/Logging_0488/tillsyn/A 53869-2024 tillsynsbegäran.docx", "A 53869-2024")</f>
        <v/>
      </c>
      <c r="Y12">
        <f>HYPERLINK("https://klasma.github.io/Logging_0488/tillsynsmail/A 53869-2024 tillsynsbegäran mail.docx", "A 53869-2024")</f>
        <v/>
      </c>
      <c r="Z12">
        <f>HYPERLINK("https://klasma.github.io/Logging_0488/fåglar/A 53869-2024 prioriterade fågelarter.docx", "A 53869-2024")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45884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45884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45884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45884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45884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45884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45884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45884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45884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45884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45884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45884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63049-2021</t>
        </is>
      </c>
      <c r="B28" s="1" t="n">
        <v>44505</v>
      </c>
      <c r="C28" s="1" t="n">
        <v>45884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3134-2022</t>
        </is>
      </c>
      <c r="B29" s="1" t="n">
        <v>44582</v>
      </c>
      <c r="C29" s="1" t="n">
        <v>45884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38877-2020</t>
        </is>
      </c>
      <c r="B30" s="1" t="n">
        <v>44062</v>
      </c>
      <c r="C30" s="1" t="n">
        <v>45884</v>
      </c>
      <c r="D30" t="inlineStr">
        <is>
          <t>SÖDERMANLANDS LÄN</t>
        </is>
      </c>
      <c r="E30" t="inlineStr">
        <is>
          <t>TROSA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39963-2020</t>
        </is>
      </c>
      <c r="B31" s="1" t="n">
        <v>44067</v>
      </c>
      <c r="C31" s="1" t="n">
        <v>45884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40169-2021</t>
        </is>
      </c>
      <c r="B32" s="1" t="n">
        <v>44418</v>
      </c>
      <c r="C32" s="1" t="n">
        <v>45884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45884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7204-2024</t>
        </is>
      </c>
      <c r="B34" s="1" t="n">
        <v>45344</v>
      </c>
      <c r="C34" s="1" t="n">
        <v>45884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44720-2022</t>
        </is>
      </c>
      <c r="B35" s="1" t="n">
        <v>44840</v>
      </c>
      <c r="C35" s="1" t="n">
        <v>45884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10998-2024</t>
        </is>
      </c>
      <c r="B36" s="1" t="n">
        <v>45370</v>
      </c>
      <c r="C36" s="1" t="n">
        <v>45884</v>
      </c>
      <c r="D36" t="inlineStr">
        <is>
          <t>SÖDERMANLANDS LÄN</t>
        </is>
      </c>
      <c r="E36" t="inlineStr">
        <is>
          <t>TROSA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36710-2024</t>
        </is>
      </c>
      <c r="B37" s="1" t="n">
        <v>45537</v>
      </c>
      <c r="C37" s="1" t="n">
        <v>45884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45884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55753-2020</t>
        </is>
      </c>
      <c r="B39" s="1" t="n">
        <v>44132</v>
      </c>
      <c r="C39" s="1" t="n">
        <v>45884</v>
      </c>
      <c r="D39" t="inlineStr">
        <is>
          <t>SÖDERMANLANDS LÄN</t>
        </is>
      </c>
      <c r="E39" t="inlineStr">
        <is>
          <t>TROSA</t>
        </is>
      </c>
      <c r="G39" t="n">
        <v>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13839-2023</t>
        </is>
      </c>
      <c r="B40" s="1" t="n">
        <v>45007</v>
      </c>
      <c r="C40" s="1" t="n">
        <v>45884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45884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6102-2022</t>
        </is>
      </c>
      <c r="B42" s="1" t="n">
        <v>44599</v>
      </c>
      <c r="C42" s="1" t="n">
        <v>45884</v>
      </c>
      <c r="D42" t="inlineStr">
        <is>
          <t>SÖDERMANLANDS LÄN</t>
        </is>
      </c>
      <c r="E42" t="inlineStr">
        <is>
          <t>TROSA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11742-2024</t>
        </is>
      </c>
      <c r="B43" s="1" t="n">
        <v>45373</v>
      </c>
      <c r="C43" s="1" t="n">
        <v>45884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11743-2024</t>
        </is>
      </c>
      <c r="B44" s="1" t="n">
        <v>45373</v>
      </c>
      <c r="C44" s="1" t="n">
        <v>45884</v>
      </c>
      <c r="D44" t="inlineStr">
        <is>
          <t>SÖDERMANLANDS LÄN</t>
        </is>
      </c>
      <c r="E44" t="inlineStr">
        <is>
          <t>TROSA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47228-2020</t>
        </is>
      </c>
      <c r="B45" s="1" t="n">
        <v>44097</v>
      </c>
      <c r="C45" s="1" t="n">
        <v>45884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40498-2020</t>
        </is>
      </c>
      <c r="B46" s="1" t="n">
        <v>44069</v>
      </c>
      <c r="C46" s="1" t="n">
        <v>45884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11066-2024</t>
        </is>
      </c>
      <c r="B47" s="1" t="n">
        <v>45370</v>
      </c>
      <c r="C47" s="1" t="n">
        <v>45884</v>
      </c>
      <c r="D47" t="inlineStr">
        <is>
          <t>SÖDERMANLANDS LÄN</t>
        </is>
      </c>
      <c r="E47" t="inlineStr">
        <is>
          <t>TROSA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18565-2025</t>
        </is>
      </c>
      <c r="B48" s="1" t="n">
        <v>45763.45225694445</v>
      </c>
      <c r="C48" s="1" t="n">
        <v>45884</v>
      </c>
      <c r="D48" t="inlineStr">
        <is>
          <t>SÖDERMANLANDS LÄN</t>
        </is>
      </c>
      <c r="E48" t="inlineStr">
        <is>
          <t>TROSA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44579-2022</t>
        </is>
      </c>
      <c r="B49" s="1" t="n">
        <v>44840.4959375</v>
      </c>
      <c r="C49" s="1" t="n">
        <v>45884</v>
      </c>
      <c r="D49" t="inlineStr">
        <is>
          <t>SÖDERMANLANDS LÄN</t>
        </is>
      </c>
      <c r="E49" t="inlineStr">
        <is>
          <t>TROSA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15293-2023</t>
        </is>
      </c>
      <c r="B50" s="1" t="n">
        <v>45019</v>
      </c>
      <c r="C50" s="1" t="n">
        <v>45884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12447-2024</t>
        </is>
      </c>
      <c r="B51" s="1" t="n">
        <v>45379.46974537037</v>
      </c>
      <c r="C51" s="1" t="n">
        <v>45884</v>
      </c>
      <c r="D51" t="inlineStr">
        <is>
          <t>SÖDERMANLANDS LÄN</t>
        </is>
      </c>
      <c r="E51" t="inlineStr">
        <is>
          <t>TROSA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13675-2025</t>
        </is>
      </c>
      <c r="B52" s="1" t="n">
        <v>45736.93336805556</v>
      </c>
      <c r="C52" s="1" t="n">
        <v>45884</v>
      </c>
      <c r="D52" t="inlineStr">
        <is>
          <t>SÖDERMANLANDS LÄN</t>
        </is>
      </c>
      <c r="E52" t="inlineStr">
        <is>
          <t>TROSA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17600-2022</t>
        </is>
      </c>
      <c r="B53" s="1" t="n">
        <v>44680</v>
      </c>
      <c r="C53" s="1" t="n">
        <v>45884</v>
      </c>
      <c r="D53" t="inlineStr">
        <is>
          <t>SÖDERMANLANDS LÄN</t>
        </is>
      </c>
      <c r="E53" t="inlineStr">
        <is>
          <t>TROSA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57005-2024</t>
        </is>
      </c>
      <c r="B54" s="1" t="n">
        <v>45628</v>
      </c>
      <c r="C54" s="1" t="n">
        <v>45884</v>
      </c>
      <c r="D54" t="inlineStr">
        <is>
          <t>SÖDERMANLANDS LÄN</t>
        </is>
      </c>
      <c r="E54" t="inlineStr">
        <is>
          <t>TROSA</t>
        </is>
      </c>
      <c r="F54" t="inlineStr">
        <is>
          <t>Kyrkan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45884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7127-2021</t>
        </is>
      </c>
      <c r="B56" s="1" t="n">
        <v>44238</v>
      </c>
      <c r="C56" s="1" t="n">
        <v>45884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61000-2024</t>
        </is>
      </c>
      <c r="B57" s="1" t="n">
        <v>45645.43471064815</v>
      </c>
      <c r="C57" s="1" t="n">
        <v>45884</v>
      </c>
      <c r="D57" t="inlineStr">
        <is>
          <t>SÖDERMANLANDS LÄN</t>
        </is>
      </c>
      <c r="E57" t="inlineStr">
        <is>
          <t>TROSA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59927-2020</t>
        </is>
      </c>
      <c r="B58" s="1" t="n">
        <v>44151</v>
      </c>
      <c r="C58" s="1" t="n">
        <v>45884</v>
      </c>
      <c r="D58" t="inlineStr">
        <is>
          <t>SÖDERMANLANDS LÄN</t>
        </is>
      </c>
      <c r="E58" t="inlineStr">
        <is>
          <t>TROSA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15169-2023</t>
        </is>
      </c>
      <c r="B59" s="1" t="n">
        <v>45016</v>
      </c>
      <c r="C59" s="1" t="n">
        <v>45884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45884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56117-2022</t>
        </is>
      </c>
      <c r="B61" s="1" t="n">
        <v>44889</v>
      </c>
      <c r="C61" s="1" t="n">
        <v>45884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36712-2024</t>
        </is>
      </c>
      <c r="B62" s="1" t="n">
        <v>45537</v>
      </c>
      <c r="C62" s="1" t="n">
        <v>45884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36709-2024</t>
        </is>
      </c>
      <c r="B63" s="1" t="n">
        <v>45537</v>
      </c>
      <c r="C63" s="1" t="n">
        <v>45884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36711-2024</t>
        </is>
      </c>
      <c r="B64" s="1" t="n">
        <v>45537</v>
      </c>
      <c r="C64" s="1" t="n">
        <v>45884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15604-2021</t>
        </is>
      </c>
      <c r="B65" s="1" t="n">
        <v>44285</v>
      </c>
      <c r="C65" s="1" t="n">
        <v>45884</v>
      </c>
      <c r="D65" t="inlineStr">
        <is>
          <t>SÖDERMANLANDS LÄN</t>
        </is>
      </c>
      <c r="E65" t="inlineStr">
        <is>
          <t>TROSA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13829-2023</t>
        </is>
      </c>
      <c r="B66" s="1" t="n">
        <v>45007</v>
      </c>
      <c r="C66" s="1" t="n">
        <v>45884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60722-2024</t>
        </is>
      </c>
      <c r="B67" s="1" t="n">
        <v>45644.53309027778</v>
      </c>
      <c r="C67" s="1" t="n">
        <v>45884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60723-2024</t>
        </is>
      </c>
      <c r="B68" s="1" t="n">
        <v>45644.53581018518</v>
      </c>
      <c r="C68" s="1" t="n">
        <v>45884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1431-2023</t>
        </is>
      </c>
      <c r="B69" s="1" t="n">
        <v>44937</v>
      </c>
      <c r="C69" s="1" t="n">
        <v>45884</v>
      </c>
      <c r="D69" t="inlineStr">
        <is>
          <t>SÖDERMANLANDS LÄN</t>
        </is>
      </c>
      <c r="E69" t="inlineStr">
        <is>
          <t>TROSA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48793-2024</t>
        </is>
      </c>
      <c r="B70" s="1" t="n">
        <v>45593</v>
      </c>
      <c r="C70" s="1" t="n">
        <v>45884</v>
      </c>
      <c r="D70" t="inlineStr">
        <is>
          <t>SÖDERMANLANDS LÄN</t>
        </is>
      </c>
      <c r="E70" t="inlineStr">
        <is>
          <t>TROSA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45884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29930-2022</t>
        </is>
      </c>
      <c r="B72" s="1" t="n">
        <v>44756</v>
      </c>
      <c r="C72" s="1" t="n">
        <v>45884</v>
      </c>
      <c r="D72" t="inlineStr">
        <is>
          <t>SÖDERMANLANDS LÄN</t>
        </is>
      </c>
      <c r="E72" t="inlineStr">
        <is>
          <t>TROSA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35058-2024</t>
        </is>
      </c>
      <c r="B73" s="1" t="n">
        <v>45527</v>
      </c>
      <c r="C73" s="1" t="n">
        <v>45884</v>
      </c>
      <c r="D73" t="inlineStr">
        <is>
          <t>SÖDERMANLANDS LÄN</t>
        </is>
      </c>
      <c r="E73" t="inlineStr">
        <is>
          <t>TROSA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15593-2025</t>
        </is>
      </c>
      <c r="B74" s="1" t="n">
        <v>45747</v>
      </c>
      <c r="C74" s="1" t="n">
        <v>45884</v>
      </c>
      <c r="D74" t="inlineStr">
        <is>
          <t>SÖDERMANLANDS LÄN</t>
        </is>
      </c>
      <c r="E74" t="inlineStr">
        <is>
          <t>TROSA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35054-2024</t>
        </is>
      </c>
      <c r="B75" s="1" t="n">
        <v>45527</v>
      </c>
      <c r="C75" s="1" t="n">
        <v>45884</v>
      </c>
      <c r="D75" t="inlineStr">
        <is>
          <t>SÖDERMANLANDS LÄN</t>
        </is>
      </c>
      <c r="E75" t="inlineStr">
        <is>
          <t>TROSA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62474-2022</t>
        </is>
      </c>
      <c r="B76" s="1" t="n">
        <v>44916</v>
      </c>
      <c r="C76" s="1" t="n">
        <v>45884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13810-2023</t>
        </is>
      </c>
      <c r="B77" s="1" t="n">
        <v>45007</v>
      </c>
      <c r="C77" s="1" t="n">
        <v>45884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36812-2024</t>
        </is>
      </c>
      <c r="B78" s="1" t="n">
        <v>45537</v>
      </c>
      <c r="C78" s="1" t="n">
        <v>45884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45280-2020</t>
        </is>
      </c>
      <c r="B79" s="1" t="n">
        <v>44088</v>
      </c>
      <c r="C79" s="1" t="n">
        <v>45884</v>
      </c>
      <c r="D79" t="inlineStr">
        <is>
          <t>SÖDERMANLANDS LÄN</t>
        </is>
      </c>
      <c r="E79" t="inlineStr">
        <is>
          <t>TROSA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6124-2022</t>
        </is>
      </c>
      <c r="B80" s="1" t="n">
        <v>44599</v>
      </c>
      <c r="C80" s="1" t="n">
        <v>45884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62473-2022</t>
        </is>
      </c>
      <c r="B81" s="1" t="n">
        <v>44916</v>
      </c>
      <c r="C81" s="1" t="n">
        <v>45884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39827-2024</t>
        </is>
      </c>
      <c r="B82" s="1" t="n">
        <v>45553.40293981481</v>
      </c>
      <c r="C82" s="1" t="n">
        <v>45884</v>
      </c>
      <c r="D82" t="inlineStr">
        <is>
          <t>SÖDERMANLANDS LÄN</t>
        </is>
      </c>
      <c r="E82" t="inlineStr">
        <is>
          <t>TROSA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31166-2025</t>
        </is>
      </c>
      <c r="B83" s="1" t="n">
        <v>45832.6597337963</v>
      </c>
      <c r="C83" s="1" t="n">
        <v>45884</v>
      </c>
      <c r="D83" t="inlineStr">
        <is>
          <t>SÖDERMANLANDS LÄN</t>
        </is>
      </c>
      <c r="E83" t="inlineStr">
        <is>
          <t>TROSA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32213-2025</t>
        </is>
      </c>
      <c r="B84" s="1" t="n">
        <v>45835.58582175926</v>
      </c>
      <c r="C84" s="1" t="n">
        <v>45884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2025-08-15T08:27:56Z</dcterms:created>
  <dcterms:modified xmlns:dcterms="http://purl.org/dc/terms/" xmlns:xsi="http://www.w3.org/2001/XMLSchema-instance" xsi:type="dcterms:W3CDTF">2025-08-15T08:27:56Z</dcterms:modified>
</cp:coreProperties>
</file>