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46260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46260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46260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46260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46260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46260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46260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46260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46260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46260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46260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10390-2026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46077</v>
      </c>
      <c r="E13" s="1" t="n">
        <v>46260</v>
      </c>
      <c r="F13" t="inlineStr">
        <is>
          <t>SÖDERMANLANDS LÄN</t>
        </is>
      </c>
      <c r="G13" t="inlineStr">
        <is>
          <t>TROSA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HYPERLINK("https://klasma.github.io/Logging_0488/artfynd/A 10390-2026 artfynd.xlsx", "A 10390-2026")</f>
        <v/>
      </c>
      <c r="X13">
        <f>HYPERLINK("https://klasma.github.io/Logging_0488/kartor/A 10390-2026 karta.png", "A 10390-2026")</f>
        <v/>
      </c>
      <c r="Y13">
        <f>HYPERLINK("https://klasma.github.io/Logging_0488/kartor_geotiff/A 10390-2026 georefererad karta.tif", "A 10390-2026")</f>
        <v/>
      </c>
      <c r="AA13">
        <f>HYPERLINK("https://klasma.github.io/Logging_0488/klagomål/A 10390-2026 FSC-klagomål.docx", "A 10390-2026")</f>
        <v/>
      </c>
      <c r="AB13">
        <f>HYPERLINK("https://klasma.github.io/Logging_0488/klagomålsmail/A 10390-2026 FSC-klagomål mail.docx", "A 10390-2026")</f>
        <v/>
      </c>
      <c r="AC13">
        <f>HYPERLINK("https://klasma.github.io/Logging_0488/tillsyn/A 10390-2026 tillsynsbegäran.docx", "A 10390-2026")</f>
        <v/>
      </c>
      <c r="AD13">
        <f>HYPERLINK("https://klasma.github.io/Logging_0488/tillsynsmail/A 10390-2026 tillsynsbegäran mail.docx", "A 10390-2026")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46260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46260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31394-2026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46260</v>
      </c>
      <c r="F16" t="inlineStr">
        <is>
          <t>SÖDERMANLANDS LÄN</t>
        </is>
      </c>
      <c r="G16" t="inlineStr">
        <is>
          <t>TROSA</t>
        </is>
      </c>
      <c r="I16" t="n">
        <v>8.6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Vedskivlav</t>
        </is>
      </c>
      <c r="W16">
        <f>HYPERLINK("https://klasma.github.io/Logging_0488/artfynd/A 31394-2026 artfynd.xlsx", "A 31394-2026")</f>
        <v/>
      </c>
      <c r="X16">
        <f>HYPERLINK("https://klasma.github.io/Logging_0488/kartor/A 31394-2026 karta.png", "A 31394-2026")</f>
        <v/>
      </c>
      <c r="Y16">
        <f>HYPERLINK("https://klasma.github.io/Logging_0488/kartor_geotiff/A 31394-2026 georefererad karta.tif", "A 31394-2026")</f>
        <v/>
      </c>
      <c r="AA16">
        <f>HYPERLINK("https://klasma.github.io/Logging_0488/klagomål/A 31394-2026 FSC-klagomål.docx", "A 31394-2026")</f>
        <v/>
      </c>
      <c r="AB16">
        <f>HYPERLINK("https://klasma.github.io/Logging_0488/klagomålsmail/A 31394-2026 FSC-klagomål mail.docx", "A 31394-2026")</f>
        <v/>
      </c>
      <c r="AC16">
        <f>HYPERLINK("https://klasma.github.io/Logging_0488/tillsyn/A 31394-2026 tillsynsbegäran.docx", "A 31394-2026")</f>
        <v/>
      </c>
      <c r="AD16">
        <f>HYPERLINK("https://klasma.github.io/Logging_0488/tillsynsmail/A 31394-2026 tillsynsbegäran mail.docx", "A 31394-2026")</f>
        <v/>
      </c>
    </row>
    <row r="17" ht="15" customHeight="1">
      <c r="A17" t="inlineStr">
        <is>
          <t>A 11123-2023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44986</v>
      </c>
      <c r="E17" s="1" t="n">
        <v>46260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statliga verk och myndigheter</t>
        </is>
      </c>
      <c r="I17" t="n">
        <v>9.4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Kungsfågel</t>
        </is>
      </c>
      <c r="W17">
        <f>HYPERLINK("https://klasma.github.io/Logging_0488/artfynd/A 11123-2023 artfynd.xlsx", "A 11123-2023")</f>
        <v/>
      </c>
      <c r="X17">
        <f>HYPERLINK("https://klasma.github.io/Logging_0488/kartor/A 11123-2023 karta.png", "A 11123-2023")</f>
        <v/>
      </c>
      <c r="Y17">
        <f>HYPERLINK("https://klasma.github.io/Logging_0488/kartor_geotiff/A 11123-2023 georefererad karta.tif", "A 11123-2023")</f>
        <v/>
      </c>
      <c r="AA17">
        <f>HYPERLINK("https://klasma.github.io/Logging_0488/klagomål/A 11123-2023 FSC-klagomål.docx", "A 11123-2023")</f>
        <v/>
      </c>
      <c r="AB17">
        <f>HYPERLINK("https://klasma.github.io/Logging_0488/klagomålsmail/A 11123-2023 FSC-klagomål mail.docx", "A 11123-2023")</f>
        <v/>
      </c>
      <c r="AC17">
        <f>HYPERLINK("https://klasma.github.io/Logging_0488/tillsyn/A 11123-2023 tillsynsbegäran.docx", "A 11123-2023")</f>
        <v/>
      </c>
      <c r="AD17">
        <f>HYPERLINK("https://klasma.github.io/Logging_0488/tillsynsmail/A 11123-2023 tillsynsbegäran mail.docx", "A 11123-2023")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46260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46260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46260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46260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46260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46260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46260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46260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46260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46260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46260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46260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46260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46260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46260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46260</v>
      </c>
      <c r="F33" t="inlineStr">
        <is>
          <t>SÖDERMANLANDS LÄN</t>
        </is>
      </c>
      <c r="G33" t="inlineStr">
        <is>
          <t>TROSA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46260</v>
      </c>
      <c r="F34" t="inlineStr">
        <is>
          <t>SÖDERMANLANDS LÄN</t>
        </is>
      </c>
      <c r="G34" t="inlineStr">
        <is>
          <t>TROSA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10393-2026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46077</v>
      </c>
      <c r="E35" s="1" t="n">
        <v>46260</v>
      </c>
      <c r="F35" t="inlineStr">
        <is>
          <t>SÖDERMANLANDS LÄN</t>
        </is>
      </c>
      <c r="G35" t="inlineStr">
        <is>
          <t>TROSA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11119-2026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46260</v>
      </c>
      <c r="F36" t="inlineStr">
        <is>
          <t>SÖDERMANLANDS LÄN</t>
        </is>
      </c>
      <c r="G36" t="inlineStr">
        <is>
          <t>TROSA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11083-2026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46079</v>
      </c>
      <c r="E37" s="1" t="n">
        <v>46260</v>
      </c>
      <c r="F37" t="inlineStr">
        <is>
          <t>SÖDERMANLANDS LÄN</t>
        </is>
      </c>
      <c r="G37" t="inlineStr">
        <is>
          <t>TROSA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11039-2026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46079</v>
      </c>
      <c r="E38" s="1" t="n">
        <v>46260</v>
      </c>
      <c r="F38" t="inlineStr">
        <is>
          <t>SÖDERMANLANDS LÄN</t>
        </is>
      </c>
      <c r="G38" t="inlineStr">
        <is>
          <t>TROSA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11069-2026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46260</v>
      </c>
      <c r="F39" t="inlineStr">
        <is>
          <t>SÖDERMANLANDS LÄN</t>
        </is>
      </c>
      <c r="G39" t="inlineStr">
        <is>
          <t>TROSA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12574-2026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46260</v>
      </c>
      <c r="F40" t="inlineStr">
        <is>
          <t>SÖDERMANLANDS LÄN</t>
        </is>
      </c>
      <c r="G40" t="inlineStr">
        <is>
          <t>TROSA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46260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44579-2022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44840</v>
      </c>
      <c r="E42" s="1" t="n">
        <v>46260</v>
      </c>
      <c r="F42" t="inlineStr">
        <is>
          <t>SÖDERMANLANDS LÄN</t>
        </is>
      </c>
      <c r="G42" t="inlineStr">
        <is>
          <t>TROSA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46260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12447-2024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46260</v>
      </c>
      <c r="F44" t="inlineStr">
        <is>
          <t>SÖDERMANLANDS LÄN</t>
        </is>
      </c>
      <c r="G44" t="inlineStr">
        <is>
          <t>TROSA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17600-2022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44680</v>
      </c>
      <c r="E45" s="1" t="n">
        <v>46260</v>
      </c>
      <c r="F45" t="inlineStr">
        <is>
          <t>SÖDERMANLANDS LÄN</t>
        </is>
      </c>
      <c r="G45" t="inlineStr">
        <is>
          <t>TROSA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46260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55257-2025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46260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46139</v>
      </c>
      <c r="E48" s="1" t="n">
        <v>46260</v>
      </c>
      <c r="F48" t="inlineStr">
        <is>
          <t>SÖDERMANLANDS LÄN</t>
        </is>
      </c>
      <c r="G48" t="inlineStr">
        <is>
          <t>TROSA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46260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46260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46260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45835</v>
      </c>
      <c r="E52" s="1" t="n">
        <v>46260</v>
      </c>
      <c r="F52" t="inlineStr">
        <is>
          <t>SÖDERMANLANDS LÄN</t>
        </is>
      </c>
      <c r="G52" t="inlineStr">
        <is>
          <t>TROSA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59222-2025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46260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46260</v>
      </c>
      <c r="F54" t="inlineStr">
        <is>
          <t>SÖDERMANLANDS LÄN</t>
        </is>
      </c>
      <c r="G54" t="inlineStr">
        <is>
          <t>TROSA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36709-2024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45537</v>
      </c>
      <c r="E55" s="1" t="n">
        <v>46260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36711-2024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46260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46079</v>
      </c>
      <c r="E57" s="1" t="n">
        <v>46260</v>
      </c>
      <c r="F57" t="inlineStr">
        <is>
          <t>SÖDERMANLANDS LÄN</t>
        </is>
      </c>
      <c r="G57" t="inlineStr">
        <is>
          <t>TROSA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46260</v>
      </c>
      <c r="F58" t="inlineStr">
        <is>
          <t>SÖDERMANLANDS LÄN</t>
        </is>
      </c>
      <c r="G58" t="inlineStr">
        <is>
          <t>TROSA</t>
        </is>
      </c>
      <c r="H58" t="inlineStr">
        <is>
          <t>Kommuner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44756</v>
      </c>
      <c r="E59" s="1" t="n">
        <v>46260</v>
      </c>
      <c r="F59" t="inlineStr">
        <is>
          <t>SÖDERMANLANDS LÄN</t>
        </is>
      </c>
      <c r="G59" t="inlineStr">
        <is>
          <t>TROSA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35058-2024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45527</v>
      </c>
      <c r="E60" s="1" t="n">
        <v>46260</v>
      </c>
      <c r="F60" t="inlineStr">
        <is>
          <t>SÖDERMANLANDS LÄN</t>
        </is>
      </c>
      <c r="G60" t="inlineStr">
        <is>
          <t>TROSA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62474-2022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44916</v>
      </c>
      <c r="E61" s="1" t="n">
        <v>46260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46260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46260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46260</v>
      </c>
      <c r="F64" t="inlineStr">
        <is>
          <t>SÖDERMANLANDS LÄN</t>
        </is>
      </c>
      <c r="G64" t="inlineStr">
        <is>
          <t>TROSA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46260</v>
      </c>
      <c r="F65" t="inlineStr">
        <is>
          <t>SÖDERMANLANDS LÄN</t>
        </is>
      </c>
      <c r="G65" t="inlineStr">
        <is>
          <t>TROSA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46260</v>
      </c>
      <c r="F66" t="inlineStr">
        <is>
          <t>SÖDERMANLANDS LÄN</t>
        </is>
      </c>
      <c r="G66" t="inlineStr">
        <is>
          <t>TROSA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46260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46260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46260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46260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46260</v>
      </c>
      <c r="F71" t="inlineStr">
        <is>
          <t>SÖDERMANLANDS LÄN</t>
        </is>
      </c>
      <c r="G71" t="inlineStr">
        <is>
          <t>TROSA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46260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46260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46260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46260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46260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46260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46260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46260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46260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46260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2026-08-26T01:49:48Z</dcterms:created>
  <dcterms:modified xmlns:dcterms="http://purl.org/dc/terms/" xmlns:xsi="http://www.w3.org/2001/XMLSchema-instance" xsi:type="dcterms:W3CDTF">2026-08-26T01:49:48Z</dcterms:modified>
</cp:coreProperties>
</file>