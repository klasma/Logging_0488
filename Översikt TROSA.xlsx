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46296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46296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46296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46296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46296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46296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46296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46296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51481-2024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45603</v>
      </c>
      <c r="E10" s="1" t="n">
        <v>46296</v>
      </c>
      <c r="F10" t="inlineStr">
        <is>
          <t>SÖDERMANLANDS LÄN</t>
        </is>
      </c>
      <c r="G10" t="inlineStr">
        <is>
          <t>TROSA</t>
        </is>
      </c>
      <c r="I10" t="n">
        <v>12.8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Talltita
Spillkråka</t>
        </is>
      </c>
      <c r="W10">
        <f>HYPERLINK("https://klasma.github.io/Logging_0488/artfynd/A 51481-2024 artfynd.xlsx", "A 51481-2024")</f>
        <v/>
      </c>
      <c r="X10">
        <f>HYPERLINK("https://klasma.github.io/Logging_0488/kartor/A 51481-2024 karta.png", "A 51481-2024")</f>
        <v/>
      </c>
      <c r="Y10">
        <f>HYPERLINK("https://klasma.github.io/Logging_0488/kartor_geotiff/A 51481-2024 georefererad karta.tif", "A 51481-2024")</f>
        <v/>
      </c>
      <c r="AA10">
        <f>HYPERLINK("https://klasma.github.io/Logging_0488/klagomål/A 51481-2024 FSC-klagomål.docx", "A 51481-2024")</f>
        <v/>
      </c>
      <c r="AB10">
        <f>HYPERLINK("https://klasma.github.io/Logging_0488/klagomålsmail/A 51481-2024 FSC-klagomål mail.docx", "A 51481-2024")</f>
        <v/>
      </c>
      <c r="AC10">
        <f>HYPERLINK("https://klasma.github.io/Logging_0488/tillsyn/A 51481-2024 tillsynsbegäran.docx", "A 51481-2024")</f>
        <v/>
      </c>
      <c r="AD10">
        <f>HYPERLINK("https://klasma.github.io/Logging_0488/tillsynsmail/A 51481-2024 tillsynsbegäran mail.docx", "A 51481-2024")</f>
        <v/>
      </c>
      <c r="AE10">
        <f>HYPERLINK("https://klasma.github.io/Logging_0488/fåglar/A 51481-2024 prioriterade fågelarter.docx", "A 51481-2024")</f>
        <v/>
      </c>
    </row>
    <row r="11" ht="15" customHeight="1">
      <c r="A11" t="inlineStr">
        <is>
          <t>A 11736-2024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45373</v>
      </c>
      <c r="E11" s="1" t="n">
        <v>46296</v>
      </c>
      <c r="F11" t="inlineStr">
        <is>
          <t>SÖDERMANLANDS LÄN</t>
        </is>
      </c>
      <c r="G11" t="inlineStr">
        <is>
          <t>TROSA</t>
        </is>
      </c>
      <c r="I11" t="n">
        <v>8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Enkelbeckasin
Grön sköldmossa</t>
        </is>
      </c>
      <c r="W11">
        <f>HYPERLINK("https://klasma.github.io/Logging_0488/artfynd/A 11736-2024 artfynd.xlsx", "A 11736-2024")</f>
        <v/>
      </c>
      <c r="X11">
        <f>HYPERLINK("https://klasma.github.io/Logging_0488/kartor/A 11736-2024 karta.png", "A 11736-2024")</f>
        <v/>
      </c>
      <c r="Y11">
        <f>HYPERLINK("https://klasma.github.io/Logging_0488/kartor_geotiff/A 11736-2024 georefererad karta.tif", "A 11736-2024")</f>
        <v/>
      </c>
      <c r="AA11">
        <f>HYPERLINK("https://klasma.github.io/Logging_0488/klagomål/A 11736-2024 FSC-klagomål.docx", "A 11736-2024")</f>
        <v/>
      </c>
      <c r="AB11">
        <f>HYPERLINK("https://klasma.github.io/Logging_0488/klagomålsmail/A 11736-2024 FSC-klagomål mail.docx", "A 11736-2024")</f>
        <v/>
      </c>
      <c r="AC11">
        <f>HYPERLINK("https://klasma.github.io/Logging_0488/tillsyn/A 11736-2024 tillsynsbegäran.docx", "A 11736-2024")</f>
        <v/>
      </c>
      <c r="AD11">
        <f>HYPERLINK("https://klasma.github.io/Logging_0488/tillsynsmail/A 11736-2024 tillsynsbegäran mail.docx", "A 11736-2024")</f>
        <v/>
      </c>
      <c r="AE11">
        <f>HYPERLINK("https://klasma.github.io/Logging_0488/fåglar/A 11736-2024 prioriterade fågelarter.docx", "A 11736-2024")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46296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57004-2023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45244</v>
      </c>
      <c r="E13" s="1" t="n">
        <v>46296</v>
      </c>
      <c r="F13" t="inlineStr">
        <is>
          <t>SÖDERMANLANDS LÄN</t>
        </is>
      </c>
      <c r="G13" t="inlineStr">
        <is>
          <t>TROSA</t>
        </is>
      </c>
      <c r="H13" t="inlineStr">
        <is>
          <t>Kommuner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Spillkråka</t>
        </is>
      </c>
      <c r="W13">
        <f>HYPERLINK("https://klasma.github.io/Logging_0488/artfynd/A 57004-2023 artfynd.xlsx", "A 57004-2023")</f>
        <v/>
      </c>
      <c r="X13">
        <f>HYPERLINK("https://klasma.github.io/Logging_0488/kartor/A 57004-2023 karta.png", "A 57004-2023")</f>
        <v/>
      </c>
      <c r="Y13">
        <f>HYPERLINK("https://klasma.github.io/Logging_0488/kartor_geotiff/A 57004-2023 georefererad karta.tif", "A 57004-2023")</f>
        <v/>
      </c>
      <c r="AA13">
        <f>HYPERLINK("https://klasma.github.io/Logging_0488/klagomål/A 57004-2023 FSC-klagomål.docx", "A 57004-2023")</f>
        <v/>
      </c>
      <c r="AB13">
        <f>HYPERLINK("https://klasma.github.io/Logging_0488/klagomålsmail/A 57004-2023 FSC-klagomål mail.docx", "A 57004-2023")</f>
        <v/>
      </c>
      <c r="AC13">
        <f>HYPERLINK("https://klasma.github.io/Logging_0488/tillsyn/A 57004-2023 tillsynsbegäran.docx", "A 57004-2023")</f>
        <v/>
      </c>
      <c r="AD13">
        <f>HYPERLINK("https://klasma.github.io/Logging_0488/tillsynsmail/A 57004-2023 tillsynsbegäran mail.docx", "A 57004-2023")</f>
        <v/>
      </c>
      <c r="AE13">
        <f>HYPERLINK("https://klasma.github.io/Logging_0488/fåglar/A 57004-2023 prioriterade fågelarter.docx", "A 57004-2023")</f>
        <v/>
      </c>
    </row>
    <row r="14" ht="15" customHeight="1">
      <c r="A14" t="inlineStr">
        <is>
          <t>A 11123-2023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44986</v>
      </c>
      <c r="E14" s="1" t="n">
        <v>46296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statliga verk och myndigheter</t>
        </is>
      </c>
      <c r="I14" t="n">
        <v>9.4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HYPERLINK("https://klasma.github.io/Logging_0488/artfynd/A 11123-2023 artfynd.xlsx", "A 11123-2023")</f>
        <v/>
      </c>
      <c r="X14">
        <f>HYPERLINK("https://klasma.github.io/Logging_0488/kartor/A 11123-2023 karta.png", "A 11123-2023")</f>
        <v/>
      </c>
      <c r="Y14">
        <f>HYPERLINK("https://klasma.github.io/Logging_0488/kartor_geotiff/A 11123-2023 georefererad karta.tif", "A 11123-2023")</f>
        <v/>
      </c>
      <c r="AA14">
        <f>HYPERLINK("https://klasma.github.io/Logging_0488/klagomål/A 11123-2023 FSC-klagomål.docx", "A 11123-2023")</f>
        <v/>
      </c>
      <c r="AB14">
        <f>HYPERLINK("https://klasma.github.io/Logging_0488/klagomålsmail/A 11123-2023 FSC-klagomål mail.docx", "A 11123-2023")</f>
        <v/>
      </c>
      <c r="AC14">
        <f>HYPERLINK("https://klasma.github.io/Logging_0488/tillsyn/A 11123-2023 tillsynsbegäran.docx", "A 11123-2023")</f>
        <v/>
      </c>
      <c r="AD14">
        <f>HYPERLINK("https://klasma.github.io/Logging_0488/tillsynsmail/A 11123-2023 tillsynsbegäran mail.docx", "A 11123-2023")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46296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11066-2024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45370</v>
      </c>
      <c r="E16" s="1" t="n">
        <v>46296</v>
      </c>
      <c r="F16" t="inlineStr">
        <is>
          <t>SÖDERMANLANDS LÄN</t>
        </is>
      </c>
      <c r="G16" t="inlineStr">
        <is>
          <t>TROSA</t>
        </is>
      </c>
      <c r="I16" t="n">
        <v>2.3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Nötkråka</t>
        </is>
      </c>
      <c r="W16">
        <f>HYPERLINK("https://klasma.github.io/Logging_0488/artfynd/A 11066-2024 artfynd.xlsx", "A 11066-2024")</f>
        <v/>
      </c>
      <c r="X16">
        <f>HYPERLINK("https://klasma.github.io/Logging_0488/kartor/A 11066-2024 karta.png", "A 11066-2024")</f>
        <v/>
      </c>
      <c r="Y16">
        <f>HYPERLINK("https://klasma.github.io/Logging_0488/kartor_geotiff/A 11066-2024 georefererad karta.tif", "A 11066-2024")</f>
        <v/>
      </c>
      <c r="AA16">
        <f>HYPERLINK("https://klasma.github.io/Logging_0488/klagomål/A 11066-2024 FSC-klagomål.docx", "A 11066-2024")</f>
        <v/>
      </c>
      <c r="AB16">
        <f>HYPERLINK("https://klasma.github.io/Logging_0488/klagomålsmail/A 11066-2024 FSC-klagomål mail.docx", "A 11066-2024")</f>
        <v/>
      </c>
      <c r="AC16">
        <f>HYPERLINK("https://klasma.github.io/Logging_0488/tillsyn/A 11066-2024 tillsynsbegäran.docx", "A 11066-2024")</f>
        <v/>
      </c>
      <c r="AD16">
        <f>HYPERLINK("https://klasma.github.io/Logging_0488/tillsynsmail/A 11066-2024 tillsynsbegäran mail.docx", "A 11066-2024")</f>
        <v/>
      </c>
      <c r="AE16">
        <f>HYPERLINK("https://klasma.github.io/Logging_0488/fåglar/A 11066-2024 prioriterade fågelarter.docx", "A 11066-2024")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46296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Flattoppad klubbsvamp</t>
        </is>
      </c>
      <c r="W17">
        <f>HYPERLINK("https://klasma.github.io/Logging_0488/artfynd/A 57251-2025 artfynd.xlsx", "A 57251-2025")</f>
        <v/>
      </c>
      <c r="X17">
        <f>HYPERLINK("https://klasma.github.io/Logging_0488/kartor/A 57251-2025 karta.png", "A 57251-2025")</f>
        <v/>
      </c>
      <c r="Y17">
        <f>HYPERLINK("https://klasma.github.io/Logging_0488/kartor_geotiff/A 57251-2025 georefererad karta.tif", "A 57251-2025")</f>
        <v/>
      </c>
      <c r="AA17">
        <f>HYPERLINK("https://klasma.github.io/Logging_0488/klagomål/A 57251-2025 FSC-klagomål.docx", "A 57251-2025")</f>
        <v/>
      </c>
      <c r="AB17">
        <f>HYPERLINK("https://klasma.github.io/Logging_0488/klagomålsmail/A 57251-2025 FSC-klagomål mail.docx", "A 57251-2025")</f>
        <v/>
      </c>
      <c r="AC17">
        <f>HYPERLINK("https://klasma.github.io/Logging_0488/tillsyn/A 57251-2025 tillsynsbegäran.docx", "A 57251-2025")</f>
        <v/>
      </c>
      <c r="AD17">
        <f>HYPERLINK("https://klasma.github.io/Logging_0488/tillsynsmail/A 57251-2025 tillsynsbegäran mail.docx", "A 57251-2025")</f>
        <v/>
      </c>
    </row>
    <row r="18" ht="15" customHeight="1">
      <c r="A18" t="inlineStr">
        <is>
          <t>A 10390-2026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46077</v>
      </c>
      <c r="E18" s="1" t="n">
        <v>46296</v>
      </c>
      <c r="F18" t="inlineStr">
        <is>
          <t>SÖDERMANLANDS LÄN</t>
        </is>
      </c>
      <c r="G18" t="inlineStr">
        <is>
          <t>TROSA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Igelkott</t>
        </is>
      </c>
      <c r="W18">
        <f>HYPERLINK("https://klasma.github.io/Logging_0488/artfynd/A 10390-2026 artfynd.xlsx", "A 10390-2026")</f>
        <v/>
      </c>
      <c r="X18">
        <f>HYPERLINK("https://klasma.github.io/Logging_0488/kartor/A 10390-2026 karta.png", "A 10390-2026")</f>
        <v/>
      </c>
      <c r="Y18">
        <f>HYPERLINK("https://klasma.github.io/Logging_0488/kartor_geotiff/A 10390-2026 georefererad karta.tif", "A 10390-2026")</f>
        <v/>
      </c>
      <c r="AA18">
        <f>HYPERLINK("https://klasma.github.io/Logging_0488/klagomål/A 10390-2026 FSC-klagomål.docx", "A 10390-2026")</f>
        <v/>
      </c>
      <c r="AB18">
        <f>HYPERLINK("https://klasma.github.io/Logging_0488/klagomålsmail/A 10390-2026 FSC-klagomål mail.docx", "A 10390-2026")</f>
        <v/>
      </c>
      <c r="AC18">
        <f>HYPERLINK("https://klasma.github.io/Logging_0488/tillsyn/A 10390-2026 tillsynsbegäran.docx", "A 10390-2026")</f>
        <v/>
      </c>
      <c r="AD18">
        <f>HYPERLINK("https://klasma.github.io/Logging_0488/tillsynsmail/A 10390-2026 tillsynsbegäran mail.docx", "A 10390-2026")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46296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46296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46296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46296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46296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46296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46296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46296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44599</v>
      </c>
      <c r="E27" s="1" t="n">
        <v>46296</v>
      </c>
      <c r="F27" t="inlineStr">
        <is>
          <t>SÖDERMANLANDS LÄN</t>
        </is>
      </c>
      <c r="G27" t="inlineStr">
        <is>
          <t>TROSA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44582</v>
      </c>
      <c r="E28" s="1" t="n">
        <v>46296</v>
      </c>
      <c r="F28" t="inlineStr">
        <is>
          <t>SÖDERMANLANDS LÄN</t>
        </is>
      </c>
      <c r="G28" t="inlineStr">
        <is>
          <t>TROSA</t>
        </is>
      </c>
      <c r="H28" t="inlineStr">
        <is>
          <t>Övriga Aktiebolag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46296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62474-2022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44916</v>
      </c>
      <c r="E30" s="1" t="n">
        <v>46296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46296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46296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15169-2023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45016</v>
      </c>
      <c r="E33" s="1" t="n">
        <v>46296</v>
      </c>
      <c r="F33" t="inlineStr">
        <is>
          <t>SÖDERMANLANDS LÄN</t>
        </is>
      </c>
      <c r="G33" t="inlineStr">
        <is>
          <t>TROSA</t>
        </is>
      </c>
      <c r="H33" t="inlineStr">
        <is>
          <t>Holmen skog AB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46296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44579-2022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44840</v>
      </c>
      <c r="E35" s="1" t="n">
        <v>46296</v>
      </c>
      <c r="F35" t="inlineStr">
        <is>
          <t>SÖDERMANLANDS LÄN</t>
        </is>
      </c>
      <c r="G35" t="inlineStr">
        <is>
          <t>TROSA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45019</v>
      </c>
      <c r="E36" s="1" t="n">
        <v>46296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12447-2024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45379</v>
      </c>
      <c r="E37" s="1" t="n">
        <v>46296</v>
      </c>
      <c r="F37" t="inlineStr">
        <is>
          <t>SÖDERMANLANDS LÄN</t>
        </is>
      </c>
      <c r="G37" t="inlineStr">
        <is>
          <t>TROSA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17600-2022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44680</v>
      </c>
      <c r="E38" s="1" t="n">
        <v>46296</v>
      </c>
      <c r="F38" t="inlineStr">
        <is>
          <t>SÖDERMANLANDS LÄN</t>
        </is>
      </c>
      <c r="G38" t="inlineStr">
        <is>
          <t>TROSA</t>
        </is>
      </c>
      <c r="I38" t="n">
        <v>7.7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36712-2024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45537</v>
      </c>
      <c r="E39" s="1" t="n">
        <v>46296</v>
      </c>
      <c r="F39" t="inlineStr">
        <is>
          <t>SÖDERMANLANDS LÄN</t>
        </is>
      </c>
      <c r="G39" t="inlineStr">
        <is>
          <t>TROSA</t>
        </is>
      </c>
      <c r="H39" t="inlineStr">
        <is>
          <t>Övriga Aktiebolag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44599</v>
      </c>
      <c r="E40" s="1" t="n">
        <v>46296</v>
      </c>
      <c r="F40" t="inlineStr">
        <is>
          <t>SÖDERMANLANDS LÄN</t>
        </is>
      </c>
      <c r="G40" t="inlineStr">
        <is>
          <t>TROSA</t>
        </is>
      </c>
      <c r="H40" t="inlineStr">
        <is>
          <t>Holmen skog AB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44916</v>
      </c>
      <c r="E41" s="1" t="n">
        <v>46296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39827-2024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45553</v>
      </c>
      <c r="E42" s="1" t="n">
        <v>46296</v>
      </c>
      <c r="F42" t="inlineStr">
        <is>
          <t>SÖDERMANLANDS LÄN</t>
        </is>
      </c>
      <c r="G42" t="inlineStr">
        <is>
          <t>TROSA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13829-2023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45007</v>
      </c>
      <c r="E43" s="1" t="n">
        <v>46296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1589-2023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44937</v>
      </c>
      <c r="E44" s="1" t="n">
        <v>46296</v>
      </c>
      <c r="F44" t="inlineStr">
        <is>
          <t>SÖDERMANLANDS LÄN</t>
        </is>
      </c>
      <c r="G44" t="inlineStr">
        <is>
          <t>TROSA</t>
        </is>
      </c>
      <c r="I44" t="n">
        <v>7.1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45344</v>
      </c>
      <c r="E45" s="1" t="n">
        <v>46296</v>
      </c>
      <c r="F45" t="inlineStr">
        <is>
          <t>SÖDERMANLANDS LÄN</t>
        </is>
      </c>
      <c r="G45" t="inlineStr">
        <is>
          <t>TROSA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10998-2024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45370</v>
      </c>
      <c r="E46" s="1" t="n">
        <v>46296</v>
      </c>
      <c r="F46" t="inlineStr">
        <is>
          <t>SÖDERMANLANDS LÄN</t>
        </is>
      </c>
      <c r="G46" t="inlineStr">
        <is>
          <t>TROSA</t>
        </is>
      </c>
      <c r="I46" t="n">
        <v>9.5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1431-2023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46296</v>
      </c>
      <c r="F47" t="inlineStr">
        <is>
          <t>SÖDERMANLANDS LÄN</t>
        </is>
      </c>
      <c r="G47" t="inlineStr">
        <is>
          <t>TROSA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16029-2023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45027</v>
      </c>
      <c r="E48" s="1" t="n">
        <v>46296</v>
      </c>
      <c r="F48" t="inlineStr">
        <is>
          <t>SÖDERMANLANDS LÄN</t>
        </is>
      </c>
      <c r="G48" t="inlineStr">
        <is>
          <t>TROSA</t>
        </is>
      </c>
      <c r="H48" t="inlineStr">
        <is>
          <t>Holmen skog AB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48793-2024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45593</v>
      </c>
      <c r="E49" s="1" t="n">
        <v>46296</v>
      </c>
      <c r="F49" t="inlineStr">
        <is>
          <t>SÖDERMANLANDS LÄN</t>
        </is>
      </c>
      <c r="G49" t="inlineStr">
        <is>
          <t>TROSA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46296</v>
      </c>
      <c r="F50" t="inlineStr">
        <is>
          <t>SÖDERMANLANDS LÄN</t>
        </is>
      </c>
      <c r="G50" t="inlineStr">
        <is>
          <t>TROSA</t>
        </is>
      </c>
      <c r="H50" t="inlineStr">
        <is>
          <t>Kommuner</t>
        </is>
      </c>
      <c r="I50" t="n">
        <v>8.199999999999999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11743-2024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45373</v>
      </c>
      <c r="E51" s="1" t="n">
        <v>46296</v>
      </c>
      <c r="F51" t="inlineStr">
        <is>
          <t>SÖDERMANLANDS LÄN</t>
        </is>
      </c>
      <c r="G51" t="inlineStr">
        <is>
          <t>TROSA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46296</v>
      </c>
      <c r="F52" t="inlineStr">
        <is>
          <t>SÖDERMANLANDS LÄN</t>
        </is>
      </c>
      <c r="G52" t="inlineStr">
        <is>
          <t>TROSA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44720-2022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44840</v>
      </c>
      <c r="E53" s="1" t="n">
        <v>46296</v>
      </c>
      <c r="F53" t="inlineStr">
        <is>
          <t>SÖDERMANLANDS LÄN</t>
        </is>
      </c>
      <c r="G53" t="inlineStr">
        <is>
          <t>TROSA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36709-2024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45537</v>
      </c>
      <c r="E54" s="1" t="n">
        <v>46296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36711-2024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45537</v>
      </c>
      <c r="E55" s="1" t="n">
        <v>46296</v>
      </c>
      <c r="F55" t="inlineStr">
        <is>
          <t>SÖDERMANLANDS LÄN</t>
        </is>
      </c>
      <c r="G55" t="inlineStr">
        <is>
          <t>TROSA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13675-2025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45736</v>
      </c>
      <c r="E56" s="1" t="n">
        <v>46296</v>
      </c>
      <c r="F56" t="inlineStr">
        <is>
          <t>SÖDERMANLANDS LÄN</t>
        </is>
      </c>
      <c r="G56" t="inlineStr">
        <is>
          <t>TROSA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64286-2023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45280</v>
      </c>
      <c r="E57" s="1" t="n">
        <v>46296</v>
      </c>
      <c r="F57" t="inlineStr">
        <is>
          <t>SÖDERMANLANDS LÄN</t>
        </is>
      </c>
      <c r="G57" t="inlineStr">
        <is>
          <t>TROSA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46296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44756</v>
      </c>
      <c r="E59" s="1" t="n">
        <v>46296</v>
      </c>
      <c r="F59" t="inlineStr">
        <is>
          <t>SÖDERMANLANDS LÄN</t>
        </is>
      </c>
      <c r="G59" t="inlineStr">
        <is>
          <t>TROSA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46296</v>
      </c>
      <c r="F60" t="inlineStr">
        <is>
          <t>SÖDERMANLANDS LÄN</t>
        </is>
      </c>
      <c r="G60" t="inlineStr">
        <is>
          <t>TROSA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55265-2025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45968</v>
      </c>
      <c r="E61" s="1" t="n">
        <v>46296</v>
      </c>
      <c r="F61" t="inlineStr">
        <is>
          <t>SÖDERMANLANDS LÄN</t>
        </is>
      </c>
      <c r="G61" t="inlineStr">
        <is>
          <t>TROSA</t>
        </is>
      </c>
      <c r="H61" t="inlineStr">
        <is>
          <t>Holmen skog AB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46296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57342-2025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46296</v>
      </c>
      <c r="F63" t="inlineStr">
        <is>
          <t>SÖDERMANLANDS LÄN</t>
        </is>
      </c>
      <c r="G63" t="inlineStr">
        <is>
          <t>TROSA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57338-2025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46296</v>
      </c>
      <c r="F64" t="inlineStr">
        <is>
          <t>SÖDERMANLANDS LÄN</t>
        </is>
      </c>
      <c r="G64" t="inlineStr">
        <is>
          <t>TROSA</t>
        </is>
      </c>
      <c r="H64" t="inlineStr">
        <is>
          <t>Övriga Aktiebolag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57344-2025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45979</v>
      </c>
      <c r="E65" s="1" t="n">
        <v>46296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45933</v>
      </c>
      <c r="E66" s="1" t="n">
        <v>46296</v>
      </c>
      <c r="F66" t="inlineStr">
        <is>
          <t>SÖDERMANLANDS LÄN</t>
        </is>
      </c>
      <c r="G66" t="inlineStr">
        <is>
          <t>TROSA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59222-2025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45988</v>
      </c>
      <c r="E67" s="1" t="n">
        <v>46296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3337-2026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46041</v>
      </c>
      <c r="E68" s="1" t="n">
        <v>46296</v>
      </c>
      <c r="F68" t="inlineStr">
        <is>
          <t>SÖDERMANLANDS LÄN</t>
        </is>
      </c>
      <c r="G68" t="inlineStr">
        <is>
          <t>TROSA</t>
        </is>
      </c>
      <c r="I68" t="n">
        <v>6.3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3346-2026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46041</v>
      </c>
      <c r="E69" s="1" t="n">
        <v>46296</v>
      </c>
      <c r="F69" t="inlineStr">
        <is>
          <t>SÖDERMANLANDS LÄN</t>
        </is>
      </c>
      <c r="G69" t="inlineStr">
        <is>
          <t>TROSA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10393-2026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46077</v>
      </c>
      <c r="E70" s="1" t="n">
        <v>46296</v>
      </c>
      <c r="F70" t="inlineStr">
        <is>
          <t>SÖDERMANLANDS LÄN</t>
        </is>
      </c>
      <c r="G70" t="inlineStr">
        <is>
          <t>TROSA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11119-2026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46079</v>
      </c>
      <c r="E71" s="1" t="n">
        <v>46296</v>
      </c>
      <c r="F71" t="inlineStr">
        <is>
          <t>SÖDERMANLANDS LÄN</t>
        </is>
      </c>
      <c r="G71" t="inlineStr">
        <is>
          <t>TROSA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11083-2026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46079</v>
      </c>
      <c r="E72" s="1" t="n">
        <v>46296</v>
      </c>
      <c r="F72" t="inlineStr">
        <is>
          <t>SÖDERMANLANDS LÄN</t>
        </is>
      </c>
      <c r="G72" t="inlineStr">
        <is>
          <t>TROSA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11039-2026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46079</v>
      </c>
      <c r="E73" s="1" t="n">
        <v>46296</v>
      </c>
      <c r="F73" t="inlineStr">
        <is>
          <t>SÖDERMANLANDS LÄN</t>
        </is>
      </c>
      <c r="G73" t="inlineStr">
        <is>
          <t>TROSA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11069-2026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46079</v>
      </c>
      <c r="E74" s="1" t="n">
        <v>46296</v>
      </c>
      <c r="F74" t="inlineStr">
        <is>
          <t>SÖDERMANLANDS LÄN</t>
        </is>
      </c>
      <c r="G74" t="inlineStr">
        <is>
          <t>TROSA</t>
        </is>
      </c>
      <c r="I74" t="n">
        <v>5.2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12574-2026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46090</v>
      </c>
      <c r="E75" s="1" t="n">
        <v>46296</v>
      </c>
      <c r="F75" t="inlineStr">
        <is>
          <t>SÖDERMANLANDS LÄN</t>
        </is>
      </c>
      <c r="G75" t="inlineStr">
        <is>
          <t>TROSA</t>
        </is>
      </c>
      <c r="I75" t="n">
        <v>5.1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20191-2026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46139</v>
      </c>
      <c r="E76" s="1" t="n">
        <v>46296</v>
      </c>
      <c r="F76" t="inlineStr">
        <is>
          <t>SÖDERMANLANDS LÄN</t>
        </is>
      </c>
      <c r="G76" t="inlineStr">
        <is>
          <t>TROSA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32213-2025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45835</v>
      </c>
      <c r="E77" s="1" t="n">
        <v>46296</v>
      </c>
      <c r="F77" t="inlineStr">
        <is>
          <t>SÖDERMANLANDS LÄN</t>
        </is>
      </c>
      <c r="G77" t="inlineStr">
        <is>
          <t>TROSA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31166-2025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45832</v>
      </c>
      <c r="E78" s="1" t="n">
        <v>46296</v>
      </c>
      <c r="F78" t="inlineStr">
        <is>
          <t>SÖDERMANLANDS LÄN</t>
        </is>
      </c>
      <c r="G78" t="inlineStr">
        <is>
          <t>TROSA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11103-2026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46079</v>
      </c>
      <c r="E79" s="1" t="n">
        <v>46296</v>
      </c>
      <c r="F79" t="inlineStr">
        <is>
          <t>SÖDERMANLANDS LÄN</t>
        </is>
      </c>
      <c r="G79" t="inlineStr">
        <is>
          <t>TROSA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36944-2026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46273</v>
      </c>
      <c r="E80" s="1" t="n">
        <v>46296</v>
      </c>
      <c r="F80" t="inlineStr">
        <is>
          <t>SÖDERMANLANDS LÄN</t>
        </is>
      </c>
      <c r="G80" t="inlineStr">
        <is>
          <t>TROSA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46296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46296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2026-10-01T02:01:43Z</dcterms:created>
  <dcterms:modified xmlns:dcterms="http://purl.org/dc/terms/" xmlns:xsi="http://www.w3.org/2001/XMLSchema-instance" xsi:type="dcterms:W3CDTF">2026-10-01T02:01:43Z</dcterms:modified>
</cp:coreProperties>
</file>