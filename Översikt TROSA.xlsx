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46223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s="2" t="inlineStr">
        <is>
          <t>Ask
Ekticka
Lunglav
Sårläka
Bolmörtsskivling
Fällmossa
Guldlockmossa
Gulvaxing
Svart trolldruva
Blåsippa</t>
        </is>
      </c>
      <c r="V2">
        <f>HYPERLINK("https://klasma.github.io/Logging_0488/artfynd/S 2707-2025 artfynd.xlsx", "S 2707-2025")</f>
        <v/>
      </c>
      <c r="W2">
        <f>HYPERLINK("https://klasma.github.io/Logging_0488/kartor/S 2707-2025 karta.png", "S 2707-2025")</f>
        <v/>
      </c>
      <c r="X2">
        <f>HYPERLINK("https://klasma.github.io/Logging_0488/kartor_geotiff/S 2707-2025 georefererad karta.tif", "S 2707-2025")</f>
        <v/>
      </c>
      <c r="Z2">
        <f>HYPERLINK("https://klasma.github.io/Logging_0488/klagomål/S 2707-2025 FSC-klagomål.docx", "S 2707-2025")</f>
        <v/>
      </c>
      <c r="AA2">
        <f>HYPERLINK("https://klasma.github.io/Logging_0488/klagomålsmail/S 2707-2025 FSC-klagomål mail.docx", "S 2707-2025")</f>
        <v/>
      </c>
      <c r="AB2">
        <f>HYPERLINK("https://klasma.github.io/Logging_0488/tillsyn/S 2707-2025 tillsynsbegäran.docx", "S 2707-2025")</f>
        <v/>
      </c>
      <c r="AC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46223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s="2" t="inlineStr">
        <is>
          <t>Kricka
Svart skogssnigel
Korallrot
Svavelriska
Mattlummer
Havsörn
Fläcknycklar</t>
        </is>
      </c>
      <c r="V3">
        <f>HYPERLINK("https://klasma.github.io/Logging_0488/artfynd/A 48791-2024 artfynd.xlsx", "A 48791-2024")</f>
        <v/>
      </c>
      <c r="W3">
        <f>HYPERLINK("https://klasma.github.io/Logging_0488/kartor/A 48791-2024 karta.png", "A 48791-2024")</f>
        <v/>
      </c>
      <c r="X3">
        <f>HYPERLINK("https://klasma.github.io/Logging_0488/kartor_geotiff/A 48791-2024 georefererad karta.tif", "A 48791-2024")</f>
        <v/>
      </c>
      <c r="Z3">
        <f>HYPERLINK("https://klasma.github.io/Logging_0488/klagomål/A 48791-2024 FSC-klagomål.docx", "A 48791-2024")</f>
        <v/>
      </c>
      <c r="AA3">
        <f>HYPERLINK("https://klasma.github.io/Logging_0488/klagomålsmail/A 48791-2024 FSC-klagomål mail.docx", "A 48791-2024")</f>
        <v/>
      </c>
      <c r="AB3">
        <f>HYPERLINK("https://klasma.github.io/Logging_0488/tillsyn/A 48791-2024 tillsynsbegäran.docx", "A 48791-2024")</f>
        <v/>
      </c>
      <c r="AC3">
        <f>HYPERLINK("https://klasma.github.io/Logging_0488/tillsynsmail/A 48791-2024 tillsynsbegäran mail.docx", "A 48791-2024")</f>
        <v/>
      </c>
      <c r="AD3">
        <f>HYPERLINK("https://klasma.github.io/Logging_0488/fåglar/A 48791-2024 prioriterade fågelarter.docx", "A 48791-2024")</f>
        <v/>
      </c>
    </row>
    <row r="4" ht="15" customHeight="1">
      <c r="A4" t="inlineStr">
        <is>
          <t>A 13760-2022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44649</v>
      </c>
      <c r="E4" s="1" t="n">
        <v>46223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</v>
      </c>
      <c r="J4" t="n">
        <v>3</v>
      </c>
      <c r="K4" t="n">
        <v>1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6</v>
      </c>
      <c r="U4" s="2" t="inlineStr">
        <is>
          <t>Ask
Tofsvipa
Gullpudra
Kricka
Strutbräken
Sångsvan</t>
        </is>
      </c>
      <c r="V4">
        <f>HYPERLINK("https://klasma.github.io/Logging_0488/artfynd/A 13760-2022 artfynd.xlsx", "A 13760-2022")</f>
        <v/>
      </c>
      <c r="W4">
        <f>HYPERLINK("https://klasma.github.io/Logging_0488/kartor/A 13760-2022 karta.png", "A 13760-2022")</f>
        <v/>
      </c>
      <c r="X4">
        <f>HYPERLINK("https://klasma.github.io/Logging_0488/kartor_geotiff/A 13760-2022 georefererad karta.tif", "A 13760-2022")</f>
        <v/>
      </c>
      <c r="Z4">
        <f>HYPERLINK("https://klasma.github.io/Logging_0488/klagomål/A 13760-2022 FSC-klagomål.docx", "A 13760-2022")</f>
        <v/>
      </c>
      <c r="AA4">
        <f>HYPERLINK("https://klasma.github.io/Logging_0488/klagomålsmail/A 13760-2022 FSC-klagomål mail.docx", "A 13760-2022")</f>
        <v/>
      </c>
      <c r="AB4">
        <f>HYPERLINK("https://klasma.github.io/Logging_0488/tillsyn/A 13760-2022 tillsynsbegäran.docx", "A 13760-2022")</f>
        <v/>
      </c>
      <c r="AC4">
        <f>HYPERLINK("https://klasma.github.io/Logging_0488/tillsynsmail/A 13760-2022 tillsynsbegäran mail.docx", "A 13760-2022")</f>
        <v/>
      </c>
      <c r="AD4">
        <f>HYPERLINK("https://klasma.github.io/Logging_0488/fåglar/A 13760-2022 prioriterade fågelarter.docx", "A 13760-2022")</f>
        <v/>
      </c>
    </row>
    <row r="5" ht="15" customHeight="1">
      <c r="A5" t="inlineStr">
        <is>
          <t>A 53869-2024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45614</v>
      </c>
      <c r="E5" s="1" t="n">
        <v>46223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20</v>
      </c>
      <c r="J5" t="n">
        <v>3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6</v>
      </c>
      <c r="U5" s="2" t="inlineStr">
        <is>
          <t>Gullpudra
Kricka
Älg
Stubbspretmossa
Spillkråka
Kungsfågel</t>
        </is>
      </c>
      <c r="V5">
        <f>HYPERLINK("https://klasma.github.io/Logging_0488/artfynd/A 53869-2024 artfynd.xlsx", "A 53869-2024")</f>
        <v/>
      </c>
      <c r="W5">
        <f>HYPERLINK("https://klasma.github.io/Logging_0488/kartor/A 53869-2024 karta.png", "A 53869-2024")</f>
        <v/>
      </c>
      <c r="X5">
        <f>HYPERLINK("https://klasma.github.io/Logging_0488/kartor_geotiff/A 53869-2024 georefererad karta.tif", "A 53869-2024")</f>
        <v/>
      </c>
      <c r="Z5">
        <f>HYPERLINK("https://klasma.github.io/Logging_0488/klagomål/A 53869-2024 FSC-klagomål.docx", "A 53869-2024")</f>
        <v/>
      </c>
      <c r="AA5">
        <f>HYPERLINK("https://klasma.github.io/Logging_0488/klagomålsmail/A 53869-2024 FSC-klagomål mail.docx", "A 53869-2024")</f>
        <v/>
      </c>
      <c r="AB5">
        <f>HYPERLINK("https://klasma.github.io/Logging_0488/tillsyn/A 53869-2024 tillsynsbegäran.docx", "A 53869-2024")</f>
        <v/>
      </c>
      <c r="AC5">
        <f>HYPERLINK("https://klasma.github.io/Logging_0488/tillsynsmail/A 53869-2024 tillsynsbegäran mail.docx", "A 53869-2024")</f>
        <v/>
      </c>
      <c r="AD5">
        <f>HYPERLINK("https://klasma.github.io/Logging_0488/fåglar/A 53869-2024 prioriterade fågelarter.docx", "A 53869-2024")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46223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Ask
Vårärt
Brun nållav
Näktergal
Ärtsångare</t>
        </is>
      </c>
      <c r="V6">
        <f>HYPERLINK("https://klasma.github.io/Logging_0488/artfynd/S 2560-2023 artfynd.xlsx", "S 2560-2023")</f>
        <v/>
      </c>
      <c r="W6">
        <f>HYPERLINK("https://klasma.github.io/Logging_0488/kartor/S 2560-2023 karta.png", "S 2560-2023")</f>
        <v/>
      </c>
      <c r="X6">
        <f>HYPERLINK("https://klasma.github.io/Logging_0488/kartor_geotiff/S 2560-2023 georefererad karta.tif", "S 2560-2023")</f>
        <v/>
      </c>
      <c r="Z6">
        <f>HYPERLINK("https://klasma.github.io/Logging_0488/klagomål/S 2560-2023 FSC-klagomål.docx", "S 2560-2023")</f>
        <v/>
      </c>
      <c r="AA6">
        <f>HYPERLINK("https://klasma.github.io/Logging_0488/klagomålsmail/S 2560-2023 FSC-klagomål mail.docx", "S 2560-2023")</f>
        <v/>
      </c>
      <c r="AB6">
        <f>HYPERLINK("https://klasma.github.io/Logging_0488/tillsyn/S 2560-2023 tillsynsbegäran.docx", "S 2560-2023")</f>
        <v/>
      </c>
      <c r="AC6">
        <f>HYPERLINK("https://klasma.github.io/Logging_0488/tillsynsmail/S 2560-2023 tillsynsbegäran mail.docx", "S 2560-2023")</f>
        <v/>
      </c>
      <c r="AD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46223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s="2" t="inlineStr">
        <is>
          <t>Bredbrämad bastardsvärmare
Gråtrut
Vitfläckig guldvinge</t>
        </is>
      </c>
      <c r="V7">
        <f>HYPERLINK("https://klasma.github.io/Logging_0488/artfynd/A 63029-2021 artfynd.xlsx", "A 63029-2021")</f>
        <v/>
      </c>
      <c r="W7">
        <f>HYPERLINK("https://klasma.github.io/Logging_0488/kartor/A 63029-2021 karta.png", "A 63029-2021")</f>
        <v/>
      </c>
      <c r="X7">
        <f>HYPERLINK("https://klasma.github.io/Logging_0488/kartor_geotiff/A 63029-2021 georefererad karta.tif", "A 63029-2021")</f>
        <v/>
      </c>
      <c r="Z7">
        <f>HYPERLINK("https://klasma.github.io/Logging_0488/klagomål/A 63029-2021 FSC-klagomål.docx", "A 63029-2021")</f>
        <v/>
      </c>
      <c r="AA7">
        <f>HYPERLINK("https://klasma.github.io/Logging_0488/klagomålsmail/A 63029-2021 FSC-klagomål mail.docx", "A 63029-2021")</f>
        <v/>
      </c>
      <c r="AB7">
        <f>HYPERLINK("https://klasma.github.io/Logging_0488/tillsyn/A 63029-2021 tillsynsbegäran.docx", "A 63029-2021")</f>
        <v/>
      </c>
      <c r="AC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46223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Järnsparv
Svart trolldruva
Trana</t>
        </is>
      </c>
      <c r="V8">
        <f>HYPERLINK("https://klasma.github.io/Logging_0488/artfynd/A 2699-2023 artfynd.xlsx", "A 2699-2023")</f>
        <v/>
      </c>
      <c r="W8">
        <f>HYPERLINK("https://klasma.github.io/Logging_0488/kartor/A 2699-2023 karta.png", "A 2699-2023")</f>
        <v/>
      </c>
      <c r="X8">
        <f>HYPERLINK("https://klasma.github.io/Logging_0488/kartor_geotiff/A 2699-2023 georefererad karta.tif", "A 2699-2023")</f>
        <v/>
      </c>
      <c r="Z8">
        <f>HYPERLINK("https://klasma.github.io/Logging_0488/klagomål/A 2699-2023 FSC-klagomål.docx", "A 2699-2023")</f>
        <v/>
      </c>
      <c r="AA8">
        <f>HYPERLINK("https://klasma.github.io/Logging_0488/klagomålsmail/A 2699-2023 FSC-klagomål mail.docx", "A 2699-2023")</f>
        <v/>
      </c>
      <c r="AB8">
        <f>HYPERLINK("https://klasma.github.io/Logging_0488/tillsyn/A 2699-2023 tillsynsbegäran.docx", "A 2699-2023")</f>
        <v/>
      </c>
      <c r="AC8">
        <f>HYPERLINK("https://klasma.github.io/Logging_0488/tillsynsmail/A 2699-2023 tillsynsbegäran mail.docx", "A 2699-2023")</f>
        <v/>
      </c>
      <c r="AD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46223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s="2" t="inlineStr">
        <is>
          <t>Tallticka
Talltita
Älg</t>
        </is>
      </c>
      <c r="V9">
        <f>HYPERLINK("https://klasma.github.io/Logging_0488/artfynd/S 4519-2023 artfynd.xlsx", "S 4519-2023")</f>
        <v/>
      </c>
      <c r="W9">
        <f>HYPERLINK("https://klasma.github.io/Logging_0488/kartor/S 4519-2023 karta.png", "S 4519-2023")</f>
        <v/>
      </c>
      <c r="X9">
        <f>HYPERLINK("https://klasma.github.io/Logging_0488/kartor_geotiff/S 4519-2023 georefererad karta.tif", "S 4519-2023")</f>
        <v/>
      </c>
      <c r="Z9">
        <f>HYPERLINK("https://klasma.github.io/Logging_0488/klagomål/S 4519-2023 FSC-klagomål.docx", "S 4519-2023")</f>
        <v/>
      </c>
      <c r="AA9">
        <f>HYPERLINK("https://klasma.github.io/Logging_0488/klagomålsmail/S 4519-2023 FSC-klagomål mail.docx", "S 4519-2023")</f>
        <v/>
      </c>
      <c r="AB9">
        <f>HYPERLINK("https://klasma.github.io/Logging_0488/tillsyn/S 4519-2023 tillsynsbegäran.docx", "S 4519-2023")</f>
        <v/>
      </c>
      <c r="AC9">
        <f>HYPERLINK("https://klasma.github.io/Logging_0488/tillsynsmail/S 4519-2023 tillsynsbegäran mail.docx", "S 4519-2023")</f>
        <v/>
      </c>
      <c r="AD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46223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Enkelbeckasin
Grön sköldmossa</t>
        </is>
      </c>
      <c r="V10">
        <f>HYPERLINK("https://klasma.github.io/Logging_0488/artfynd/A 11736-2024 artfynd.xlsx", "A 11736-2024")</f>
        <v/>
      </c>
      <c r="W10">
        <f>HYPERLINK("https://klasma.github.io/Logging_0488/kartor/A 11736-2024 karta.png", "A 11736-2024")</f>
        <v/>
      </c>
      <c r="X10">
        <f>HYPERLINK("https://klasma.github.io/Logging_0488/kartor_geotiff/A 11736-2024 georefererad karta.tif", "A 11736-2024")</f>
        <v/>
      </c>
      <c r="Z10">
        <f>HYPERLINK("https://klasma.github.io/Logging_0488/klagomål/A 11736-2024 FSC-klagomål.docx", "A 11736-2024")</f>
        <v/>
      </c>
      <c r="AA10">
        <f>HYPERLINK("https://klasma.github.io/Logging_0488/klagomålsmail/A 11736-2024 FSC-klagomål mail.docx", "A 11736-2024")</f>
        <v/>
      </c>
      <c r="AB10">
        <f>HYPERLINK("https://klasma.github.io/Logging_0488/tillsyn/A 11736-2024 tillsynsbegäran.docx", "A 11736-2024")</f>
        <v/>
      </c>
      <c r="AC10">
        <f>HYPERLINK("https://klasma.github.io/Logging_0488/tillsynsmail/A 11736-2024 tillsynsbegäran mail.docx", "A 11736-2024")</f>
        <v/>
      </c>
      <c r="AD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46223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Talltita
Spillkråka</t>
        </is>
      </c>
      <c r="V11">
        <f>HYPERLINK("https://klasma.github.io/Logging_0488/artfynd/A 51481-2024 artfynd.xlsx", "A 51481-2024")</f>
        <v/>
      </c>
      <c r="W11">
        <f>HYPERLINK("https://klasma.github.io/Logging_0488/kartor/A 51481-2024 karta.png", "A 51481-2024")</f>
        <v/>
      </c>
      <c r="X11">
        <f>HYPERLINK("https://klasma.github.io/Logging_0488/kartor_geotiff/A 51481-2024 georefererad karta.tif", "A 51481-2024")</f>
        <v/>
      </c>
      <c r="Z11">
        <f>HYPERLINK("https://klasma.github.io/Logging_0488/klagomål/A 51481-2024 FSC-klagomål.docx", "A 51481-2024")</f>
        <v/>
      </c>
      <c r="AA11">
        <f>HYPERLINK("https://klasma.github.io/Logging_0488/klagomålsmail/A 51481-2024 FSC-klagomål mail.docx", "A 51481-2024")</f>
        <v/>
      </c>
      <c r="AB11">
        <f>HYPERLINK("https://klasma.github.io/Logging_0488/tillsyn/A 51481-2024 tillsynsbegäran.docx", "A 51481-2024")</f>
        <v/>
      </c>
      <c r="AC11">
        <f>HYPERLINK("https://klasma.github.io/Logging_0488/tillsynsmail/A 51481-2024 tillsynsbegäran mail.docx", "A 51481-2024")</f>
        <v/>
      </c>
      <c r="AD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46223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HYPERLINK("https://klasma.github.io/Logging_0488/artfynd/A 69966-2021 artfynd.xlsx", "A 69966-2021")</f>
        <v/>
      </c>
      <c r="W12">
        <f>HYPERLINK("https://klasma.github.io/Logging_0488/kartor/A 69966-2021 karta.png", "A 69966-2021")</f>
        <v/>
      </c>
      <c r="X12">
        <f>HYPERLINK("https://klasma.github.io/Logging_0488/kartor_geotiff/A 69966-2021 georefererad karta.tif", "A 69966-2021")</f>
        <v/>
      </c>
      <c r="Z12">
        <f>HYPERLINK("https://klasma.github.io/Logging_0488/klagomål/A 69966-2021 FSC-klagomål.docx", "A 69966-2021")</f>
        <v/>
      </c>
      <c r="AA12">
        <f>HYPERLINK("https://klasma.github.io/Logging_0488/klagomålsmail/A 69966-2021 FSC-klagomål mail.docx", "A 69966-2021")</f>
        <v/>
      </c>
      <c r="AB12">
        <f>HYPERLINK("https://klasma.github.io/Logging_0488/tillsyn/A 69966-2021 tillsynsbegäran.docx", "A 69966-2021")</f>
        <v/>
      </c>
      <c r="AC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46223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Nötkråka</t>
        </is>
      </c>
      <c r="V13">
        <f>HYPERLINK("https://klasma.github.io/Logging_0488/artfynd/A 11066-2024 artfynd.xlsx", "A 11066-2024")</f>
        <v/>
      </c>
      <c r="W13">
        <f>HYPERLINK("https://klasma.github.io/Logging_0488/kartor/A 11066-2024 karta.png", "A 11066-2024")</f>
        <v/>
      </c>
      <c r="X13">
        <f>HYPERLINK("https://klasma.github.io/Logging_0488/kartor_geotiff/A 11066-2024 georefererad karta.tif", "A 11066-2024")</f>
        <v/>
      </c>
      <c r="Z13">
        <f>HYPERLINK("https://klasma.github.io/Logging_0488/klagomål/A 11066-2024 FSC-klagomål.docx", "A 11066-2024")</f>
        <v/>
      </c>
      <c r="AA13">
        <f>HYPERLINK("https://klasma.github.io/Logging_0488/klagomålsmail/A 11066-2024 FSC-klagomål mail.docx", "A 11066-2024")</f>
        <v/>
      </c>
      <c r="AB13">
        <f>HYPERLINK("https://klasma.github.io/Logging_0488/tillsyn/A 11066-2024 tillsynsbegäran.docx", "A 11066-2024")</f>
        <v/>
      </c>
      <c r="AC13">
        <f>HYPERLINK("https://klasma.github.io/Logging_0488/tillsynsmail/A 11066-2024 tillsynsbegäran mail.docx", "A 11066-2024")</f>
        <v/>
      </c>
      <c r="AD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46223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HYPERLINK("https://klasma.github.io/Logging_0488/artfynd/A 11123-2023 artfynd.xlsx", "A 11123-2023")</f>
        <v/>
      </c>
      <c r="W14">
        <f>HYPERLINK("https://klasma.github.io/Logging_0488/kartor/A 11123-2023 karta.png", "A 11123-2023")</f>
        <v/>
      </c>
      <c r="X14">
        <f>HYPERLINK("https://klasma.github.io/Logging_0488/kartor_geotiff/A 11123-2023 georefererad karta.tif", "A 11123-2023")</f>
        <v/>
      </c>
      <c r="Z14">
        <f>HYPERLINK("https://klasma.github.io/Logging_0488/klagomål/A 11123-2023 FSC-klagomål.docx", "A 11123-2023")</f>
        <v/>
      </c>
      <c r="AA14">
        <f>HYPERLINK("https://klasma.github.io/Logging_0488/klagomålsmail/A 11123-2023 FSC-klagomål mail.docx", "A 11123-2023")</f>
        <v/>
      </c>
      <c r="AB14">
        <f>HYPERLINK("https://klasma.github.io/Logging_0488/tillsyn/A 11123-2023 tillsynsbegäran.docx", "A 11123-2023")</f>
        <v/>
      </c>
      <c r="AC14">
        <f>HYPERLINK("https://klasma.github.io/Logging_0488/tillsynsmail/A 11123-2023 tillsynsbegäran mail.docx", "A 11123-2023")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46223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Igelkott</t>
        </is>
      </c>
      <c r="V15">
        <f>HYPERLINK("https://klasma.github.io/Logging_0488/artfynd/A 10390-2026 artfynd.xlsx", "A 10390-2026")</f>
        <v/>
      </c>
      <c r="W15">
        <f>HYPERLINK("https://klasma.github.io/Logging_0488/kartor/A 10390-2026 karta.png", "A 10390-2026")</f>
        <v/>
      </c>
      <c r="X15">
        <f>HYPERLINK("https://klasma.github.io/Logging_0488/kartor_geotiff/A 10390-2026 georefererad karta.tif", "A 10390-2026")</f>
        <v/>
      </c>
      <c r="Z15">
        <f>HYPERLINK("https://klasma.github.io/Logging_0488/klagomål/A 10390-2026 FSC-klagomål.docx", "A 10390-2026")</f>
        <v/>
      </c>
      <c r="AA15">
        <f>HYPERLINK("https://klasma.github.io/Logging_0488/klagomålsmail/A 10390-2026 FSC-klagomål mail.docx", "A 10390-2026")</f>
        <v/>
      </c>
      <c r="AB15">
        <f>HYPERLINK("https://klasma.github.io/Logging_0488/tillsyn/A 10390-2026 tillsynsbegäran.docx", "A 10390-2026")</f>
        <v/>
      </c>
      <c r="AC15">
        <f>HYPERLINK("https://klasma.github.io/Logging_0488/tillsynsmail/A 10390-2026 tillsynsbegäran mail.docx", "A 10390-2026")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46223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Spillkråka</t>
        </is>
      </c>
      <c r="V16">
        <f>HYPERLINK("https://klasma.github.io/Logging_0488/artfynd/A 57004-2023 artfynd.xlsx", "A 57004-2023")</f>
        <v/>
      </c>
      <c r="W16">
        <f>HYPERLINK("https://klasma.github.io/Logging_0488/kartor/A 57004-2023 karta.png", "A 57004-2023")</f>
        <v/>
      </c>
      <c r="X16">
        <f>HYPERLINK("https://klasma.github.io/Logging_0488/kartor_geotiff/A 57004-2023 georefererad karta.tif", "A 57004-2023")</f>
        <v/>
      </c>
      <c r="Z16">
        <f>HYPERLINK("https://klasma.github.io/Logging_0488/klagomål/A 57004-2023 FSC-klagomål.docx", "A 57004-2023")</f>
        <v/>
      </c>
      <c r="AA16">
        <f>HYPERLINK("https://klasma.github.io/Logging_0488/klagomålsmail/A 57004-2023 FSC-klagomål mail.docx", "A 57004-2023")</f>
        <v/>
      </c>
      <c r="AB16">
        <f>HYPERLINK("https://klasma.github.io/Logging_0488/tillsyn/A 57004-2023 tillsynsbegäran.docx", "A 57004-2023")</f>
        <v/>
      </c>
      <c r="AC16">
        <f>HYPERLINK("https://klasma.github.io/Logging_0488/tillsynsmail/A 57004-2023 tillsynsbegäran mail.docx", "A 57004-2023")</f>
        <v/>
      </c>
      <c r="AD16">
        <f>HYPERLINK("https://klasma.github.io/Logging_0488/fåglar/A 57004-2023 prioriterade fågelarter.docx", "A 57004-2023")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46223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Flattoppad klubbsvamp</t>
        </is>
      </c>
      <c r="V17">
        <f>HYPERLINK("https://klasma.github.io/Logging_0488/artfynd/A 57251-2025 artfynd.xlsx", "A 57251-2025")</f>
        <v/>
      </c>
      <c r="W17">
        <f>HYPERLINK("https://klasma.github.io/Logging_0488/kartor/A 57251-2025 karta.png", "A 57251-2025")</f>
        <v/>
      </c>
      <c r="X17">
        <f>HYPERLINK("https://klasma.github.io/Logging_0488/kartor_geotiff/A 57251-2025 georefererad karta.tif", "A 57251-2025")</f>
        <v/>
      </c>
      <c r="Z17">
        <f>HYPERLINK("https://klasma.github.io/Logging_0488/klagomål/A 57251-2025 FSC-klagomål.docx", "A 57251-2025")</f>
        <v/>
      </c>
      <c r="AA17">
        <f>HYPERLINK("https://klasma.github.io/Logging_0488/klagomålsmail/A 57251-2025 FSC-klagomål mail.docx", "A 57251-2025")</f>
        <v/>
      </c>
      <c r="AB17">
        <f>HYPERLINK("https://klasma.github.io/Logging_0488/tillsyn/A 57251-2025 tillsynsbegäran.docx", "A 57251-2025")</f>
        <v/>
      </c>
      <c r="AC17">
        <f>HYPERLINK("https://klasma.github.io/Logging_0488/tillsynsmail/A 57251-2025 tillsynsbegäran mail.docx", "A 57251-2025")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46223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Älg</t>
        </is>
      </c>
      <c r="V18">
        <f>HYPERLINK("https://klasma.github.io/Logging_0488/artfynd/A 56117-2022 artfynd.xlsx", "A 56117-2022")</f>
        <v/>
      </c>
      <c r="W18">
        <f>HYPERLINK("https://klasma.github.io/Logging_0488/kartor/A 56117-2022 karta.png", "A 56117-2022")</f>
        <v/>
      </c>
      <c r="X18">
        <f>HYPERLINK("https://klasma.github.io/Logging_0488/kartor_geotiff/A 56117-2022 georefererad karta.tif", "A 56117-2022")</f>
        <v/>
      </c>
      <c r="Z18">
        <f>HYPERLINK("https://klasma.github.io/Logging_0488/klagomål/A 56117-2022 FSC-klagomål.docx", "A 56117-2022")</f>
        <v/>
      </c>
      <c r="AA18">
        <f>HYPERLINK("https://klasma.github.io/Logging_0488/klagomålsmail/A 56117-2022 FSC-klagomål mail.docx", "A 56117-2022")</f>
        <v/>
      </c>
      <c r="AB18">
        <f>HYPERLINK("https://klasma.github.io/Logging_0488/tillsyn/A 56117-2022 tillsynsbegäran.docx", "A 56117-2022")</f>
        <v/>
      </c>
      <c r="AC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46223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Vedskivlav</t>
        </is>
      </c>
      <c r="V19">
        <f>HYPERLINK("https://klasma.github.io/Logging_0488/artfynd/A 31394-2026 artfynd.xlsx", "A 31394-2026")</f>
        <v/>
      </c>
      <c r="W19">
        <f>HYPERLINK("https://klasma.github.io/Logging_0488/kartor/A 31394-2026 karta.png", "A 31394-2026")</f>
        <v/>
      </c>
      <c r="X19">
        <f>HYPERLINK("https://klasma.github.io/Logging_0488/kartor_geotiff/A 31394-2026 georefererad karta.tif", "A 31394-2026")</f>
        <v/>
      </c>
      <c r="Z19">
        <f>HYPERLINK("https://klasma.github.io/Logging_0488/klagomål/A 31394-2026 FSC-klagomål.docx", "A 31394-2026")</f>
        <v/>
      </c>
      <c r="AA19">
        <f>HYPERLINK("https://klasma.github.io/Logging_0488/klagomålsmail/A 31394-2026 FSC-klagomål mail.docx", "A 31394-2026")</f>
        <v/>
      </c>
      <c r="AB19">
        <f>HYPERLINK("https://klasma.github.io/Logging_0488/tillsyn/A 31394-2026 tillsynsbegäran.docx", "A 31394-2026")</f>
        <v/>
      </c>
      <c r="AC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46223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46223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46223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46223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46223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46223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46223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46223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46223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46223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36709-2024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46223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36711-2024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45537</v>
      </c>
      <c r="E31" s="1" t="n">
        <v>46223</v>
      </c>
      <c r="F31" t="inlineStr">
        <is>
          <t>SÖDERMANLANDS LÄN</t>
        </is>
      </c>
      <c r="G31" t="inlineStr">
        <is>
          <t>TROSA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1589-2023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46223</v>
      </c>
      <c r="F32" t="inlineStr">
        <is>
          <t>SÖDERMANLANDS LÄN</t>
        </is>
      </c>
      <c r="G32" t="inlineStr">
        <is>
          <t>TROSA</t>
        </is>
      </c>
      <c r="I32" t="n">
        <v>7.1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6124-2022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44599</v>
      </c>
      <c r="E33" s="1" t="n">
        <v>46223</v>
      </c>
      <c r="F33" t="inlineStr">
        <is>
          <t>SÖDERMANLANDS LÄN</t>
        </is>
      </c>
      <c r="G33" t="inlineStr">
        <is>
          <t>TROSA</t>
        </is>
      </c>
      <c r="H33" t="inlineStr">
        <is>
          <t>Holmen skog AB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3346-2026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46223</v>
      </c>
      <c r="F34" t="inlineStr">
        <is>
          <t>SÖDERMANLANDS LÄN</t>
        </is>
      </c>
      <c r="G34" t="inlineStr">
        <is>
          <t>TROSA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62474-2022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44916</v>
      </c>
      <c r="E35" s="1" t="n">
        <v>46223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3337-2026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46041</v>
      </c>
      <c r="E36" s="1" t="n">
        <v>46223</v>
      </c>
      <c r="F36" t="inlineStr">
        <is>
          <t>SÖDERMANLANDS LÄN</t>
        </is>
      </c>
      <c r="G36" t="inlineStr">
        <is>
          <t>TROSA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13810-2023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46223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16029-2023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45027</v>
      </c>
      <c r="E38" s="1" t="n">
        <v>46223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45344</v>
      </c>
      <c r="E39" s="1" t="n">
        <v>46223</v>
      </c>
      <c r="F39" t="inlineStr">
        <is>
          <t>SÖDERMANLANDS LÄN</t>
        </is>
      </c>
      <c r="G39" t="inlineStr">
        <is>
          <t>TROSA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6102-2022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44599</v>
      </c>
      <c r="E40" s="1" t="n">
        <v>46223</v>
      </c>
      <c r="F40" t="inlineStr">
        <is>
          <t>SÖDERMANLANDS LÄN</t>
        </is>
      </c>
      <c r="G40" t="inlineStr">
        <is>
          <t>TROSA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46223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10393-2026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46077</v>
      </c>
      <c r="E42" s="1" t="n">
        <v>46223</v>
      </c>
      <c r="F42" t="inlineStr">
        <is>
          <t>SÖDERMANLANDS LÄN</t>
        </is>
      </c>
      <c r="G42" t="inlineStr">
        <is>
          <t>TROSA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55257-2025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46223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55265-2025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46223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11069-2026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46079</v>
      </c>
      <c r="E45" s="1" t="n">
        <v>46223</v>
      </c>
      <c r="F45" t="inlineStr">
        <is>
          <t>SÖDERMANLANDS LÄN</t>
        </is>
      </c>
      <c r="G45" t="inlineStr">
        <is>
          <t>TROSA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11119-2026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46223</v>
      </c>
      <c r="F46" t="inlineStr">
        <is>
          <t>SÖDERMANLANDS LÄN</t>
        </is>
      </c>
      <c r="G46" t="inlineStr">
        <is>
          <t>TROSA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11039-2026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46079</v>
      </c>
      <c r="E47" s="1" t="n">
        <v>46223</v>
      </c>
      <c r="F47" t="inlineStr">
        <is>
          <t>SÖDERMANLANDS LÄN</t>
        </is>
      </c>
      <c r="G47" t="inlineStr">
        <is>
          <t>TROSA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11083-2026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46079</v>
      </c>
      <c r="E48" s="1" t="n">
        <v>46223</v>
      </c>
      <c r="F48" t="inlineStr">
        <is>
          <t>SÖDERMANLANDS LÄN</t>
        </is>
      </c>
      <c r="G48" t="inlineStr">
        <is>
          <t>TROSA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13829-2023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45007</v>
      </c>
      <c r="E49" s="1" t="n">
        <v>46223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57342-2025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46223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57338-2025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45979</v>
      </c>
      <c r="E51" s="1" t="n">
        <v>46223</v>
      </c>
      <c r="F51" t="inlineStr">
        <is>
          <t>SÖDERMANLANDS LÄN</t>
        </is>
      </c>
      <c r="G51" t="inlineStr">
        <is>
          <t>TROSA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57344-2025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45979</v>
      </c>
      <c r="E52" s="1" t="n">
        <v>46223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12574-2026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46090</v>
      </c>
      <c r="E53" s="1" t="n">
        <v>46223</v>
      </c>
      <c r="F53" t="inlineStr">
        <is>
          <t>SÖDERMANLANDS LÄN</t>
        </is>
      </c>
      <c r="G53" t="inlineStr">
        <is>
          <t>TROSA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59222-2025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45988</v>
      </c>
      <c r="E54" s="1" t="n">
        <v>46223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62473-2022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44916</v>
      </c>
      <c r="E55" s="1" t="n">
        <v>46223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12447-2024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45379</v>
      </c>
      <c r="E56" s="1" t="n">
        <v>46223</v>
      </c>
      <c r="F56" t="inlineStr">
        <is>
          <t>SÖDERMANLANDS LÄN</t>
        </is>
      </c>
      <c r="G56" t="inlineStr">
        <is>
          <t>TROSA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11743-2024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46223</v>
      </c>
      <c r="F57" t="inlineStr">
        <is>
          <t>SÖDERMANLANDS LÄN</t>
        </is>
      </c>
      <c r="G57" t="inlineStr">
        <is>
          <t>TROSA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39827-2024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46223</v>
      </c>
      <c r="F58" t="inlineStr">
        <is>
          <t>SÖDERMANLANDS LÄN</t>
        </is>
      </c>
      <c r="G58" t="inlineStr">
        <is>
          <t>TROSA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32213-2025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46223</v>
      </c>
      <c r="F59" t="inlineStr">
        <is>
          <t>SÖDERMANLANDS LÄN</t>
        </is>
      </c>
      <c r="G59" t="inlineStr">
        <is>
          <t>TROSA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31166-2025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45832</v>
      </c>
      <c r="E60" s="1" t="n">
        <v>46223</v>
      </c>
      <c r="F60" t="inlineStr">
        <is>
          <t>SÖDERMANLANDS LÄN</t>
        </is>
      </c>
      <c r="G60" t="inlineStr">
        <is>
          <t>TROSA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13675-2025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45736</v>
      </c>
      <c r="E61" s="1" t="n">
        <v>46223</v>
      </c>
      <c r="F61" t="inlineStr">
        <is>
          <t>SÖDERMANLANDS LÄN</t>
        </is>
      </c>
      <c r="G61" t="inlineStr">
        <is>
          <t>TROSA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20191-2026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46223</v>
      </c>
      <c r="F62" t="inlineStr">
        <is>
          <t>SÖDERMANLANDS LÄN</t>
        </is>
      </c>
      <c r="G62" t="inlineStr">
        <is>
          <t>TROSA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46223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46223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46223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46223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11103-2026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46079</v>
      </c>
      <c r="E67" s="1" t="n">
        <v>46223</v>
      </c>
      <c r="F67" t="inlineStr">
        <is>
          <t>SÖDERMANLANDS LÄN</t>
        </is>
      </c>
      <c r="G67" t="inlineStr">
        <is>
          <t>TROSA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15169-2023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46223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36712-2024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45537</v>
      </c>
      <c r="E69" s="1" t="n">
        <v>46223</v>
      </c>
      <c r="F69" t="inlineStr">
        <is>
          <t>SÖDERMANLANDS LÄN</t>
        </is>
      </c>
      <c r="G69" t="inlineStr">
        <is>
          <t>TROSA</t>
        </is>
      </c>
      <c r="H69" t="inlineStr">
        <is>
          <t>Övriga Aktiebolag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46223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11740-2024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46223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46223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1431-2023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44937</v>
      </c>
      <c r="E73" s="1" t="n">
        <v>46223</v>
      </c>
      <c r="F73" t="inlineStr">
        <is>
          <t>SÖDERMANLANDS LÄN</t>
        </is>
      </c>
      <c r="G73" t="inlineStr">
        <is>
          <t>TROSA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15293-2023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46223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36710-2024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46223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10998-2024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46223</v>
      </c>
      <c r="F76" t="inlineStr">
        <is>
          <t>SÖDERMANLANDS LÄN</t>
        </is>
      </c>
      <c r="G76" t="inlineStr">
        <is>
          <t>TROSA</t>
        </is>
      </c>
      <c r="I76" t="n">
        <v>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29930-2022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44756</v>
      </c>
      <c r="E77" s="1" t="n">
        <v>46223</v>
      </c>
      <c r="F77" t="inlineStr">
        <is>
          <t>SÖDERMANLANDS LÄN</t>
        </is>
      </c>
      <c r="G77" t="inlineStr">
        <is>
          <t>TROSA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46223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46223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46223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46223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46223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2026-07-20T01:46:56Z</dcterms:created>
  <dcterms:modified xmlns:dcterms="http://purl.org/dc/terms/" xmlns:xsi="http://www.w3.org/2001/XMLSchema-instance" xsi:type="dcterms:W3CDTF">2026-07-20T01:46:56Z</dcterms:modified>
</cp:coreProperties>
</file>