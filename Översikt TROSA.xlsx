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45471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45471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45471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45471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45471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Kricka
Tofsvipa
Rödvingetrast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45471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45471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45471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45471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65370-2019</t>
        </is>
      </c>
      <c r="B11" s="1" t="n">
        <v>43797</v>
      </c>
      <c r="C11" s="1" t="n">
        <v>45471</v>
      </c>
      <c r="D11" t="inlineStr">
        <is>
          <t>SÖDERMANLANDS LÄN</t>
        </is>
      </c>
      <c r="E11" t="inlineStr">
        <is>
          <t>TROSA</t>
        </is>
      </c>
      <c r="G11" t="n">
        <v>52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HYPERLINK("https://klasma.github.io/Logging_0488/artfynd/A 65370-2019 artfynd.xlsx", "A 65370-2019")</f>
        <v/>
      </c>
      <c r="T11">
        <f>HYPERLINK("https://klasma.github.io/Logging_0488/kartor/A 65370-2019 karta.png", "A 65370-2019")</f>
        <v/>
      </c>
      <c r="V11">
        <f>HYPERLINK("https://klasma.github.io/Logging_0488/klagomål/A 65370-2019 FSC-klagomål.docx", "A 65370-2019")</f>
        <v/>
      </c>
      <c r="W11">
        <f>HYPERLINK("https://klasma.github.io/Logging_0488/klagomålsmail/A 65370-2019 FSC-klagomål mail.docx", "A 65370-2019")</f>
        <v/>
      </c>
      <c r="X11">
        <f>HYPERLINK("https://klasma.github.io/Logging_0488/tillsyn/A 65370-2019 tillsynsbegäran.docx", "A 65370-2019")</f>
        <v/>
      </c>
      <c r="Y11">
        <f>HYPERLINK("https://klasma.github.io/Logging_0488/tillsynsmail/A 65370-2019 tillsynsbegäran mail.docx", "A 65370-2019")</f>
        <v/>
      </c>
      <c r="Z11">
        <f>HYPERLINK("https://klasma.github.io/Logging_0488/fåglar/A 65370-2019 prioriterade fågelarter.docx", "A 65370-2019")</f>
        <v/>
      </c>
    </row>
    <row r="12" ht="15" customHeight="1">
      <c r="A12" t="inlineStr">
        <is>
          <t>A 28149-2020</t>
        </is>
      </c>
      <c r="B12" s="1" t="n">
        <v>43997</v>
      </c>
      <c r="C12" s="1" t="n">
        <v>45471</v>
      </c>
      <c r="D12" t="inlineStr">
        <is>
          <t>SÖDERMANLANDS LÄN</t>
        </is>
      </c>
      <c r="E12" t="inlineStr">
        <is>
          <t>TROSA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Trubbfjädermossa</t>
        </is>
      </c>
      <c r="S12">
        <f>HYPERLINK("https://klasma.github.io/Logging_0488/artfynd/A 28149-2020 artfynd.xlsx", "A 28149-2020")</f>
        <v/>
      </c>
      <c r="T12">
        <f>HYPERLINK("https://klasma.github.io/Logging_0488/kartor/A 28149-2020 karta.png", "A 28149-2020")</f>
        <v/>
      </c>
      <c r="V12">
        <f>HYPERLINK("https://klasma.github.io/Logging_0488/klagomål/A 28149-2020 FSC-klagomål.docx", "A 28149-2020")</f>
        <v/>
      </c>
      <c r="W12">
        <f>HYPERLINK("https://klasma.github.io/Logging_0488/klagomålsmail/A 28149-2020 FSC-klagomål mail.docx", "A 28149-2020")</f>
        <v/>
      </c>
      <c r="X12">
        <f>HYPERLINK("https://klasma.github.io/Logging_0488/tillsyn/A 28149-2020 tillsynsbegäran.docx", "A 28149-2020")</f>
        <v/>
      </c>
      <c r="Y12">
        <f>HYPERLINK("https://klasma.github.io/Logging_0488/tillsynsmail/A 28149-2020 tillsynsbegäran mail.docx", "A 28149-2020")</f>
        <v/>
      </c>
    </row>
    <row r="13" ht="15" customHeight="1">
      <c r="A13" t="inlineStr">
        <is>
          <t>A 35106-2020</t>
        </is>
      </c>
      <c r="B13" s="1" t="n">
        <v>44040</v>
      </c>
      <c r="C13" s="1" t="n">
        <v>45471</v>
      </c>
      <c r="D13" t="inlineStr">
        <is>
          <t>SÖDERMANLANDS LÄN</t>
        </is>
      </c>
      <c r="E13" t="inlineStr">
        <is>
          <t>TROSA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Stor bockrot</t>
        </is>
      </c>
      <c r="S13">
        <f>HYPERLINK("https://klasma.github.io/Logging_0488/artfynd/A 35106-2020 artfynd.xlsx", "A 35106-2020")</f>
        <v/>
      </c>
      <c r="T13">
        <f>HYPERLINK("https://klasma.github.io/Logging_0488/kartor/A 35106-2020 karta.png", "A 35106-2020")</f>
        <v/>
      </c>
      <c r="V13">
        <f>HYPERLINK("https://klasma.github.io/Logging_0488/klagomål/A 35106-2020 FSC-klagomål.docx", "A 35106-2020")</f>
        <v/>
      </c>
      <c r="W13">
        <f>HYPERLINK("https://klasma.github.io/Logging_0488/klagomålsmail/A 35106-2020 FSC-klagomål mail.docx", "A 35106-2020")</f>
        <v/>
      </c>
      <c r="X13">
        <f>HYPERLINK("https://klasma.github.io/Logging_0488/tillsyn/A 35106-2020 tillsynsbegäran.docx", "A 35106-2020")</f>
        <v/>
      </c>
      <c r="Y13">
        <f>HYPERLINK("https://klasma.github.io/Logging_0488/tillsynsmail/A 35106-2020 tillsynsbegäran mail.docx", "A 35106-2020")</f>
        <v/>
      </c>
    </row>
    <row r="14" ht="15" customHeight="1">
      <c r="A14" t="inlineStr">
        <is>
          <t>A 55760-2020</t>
        </is>
      </c>
      <c r="B14" s="1" t="n">
        <v>44132</v>
      </c>
      <c r="C14" s="1" t="n">
        <v>45471</v>
      </c>
      <c r="D14" t="inlineStr">
        <is>
          <t>SÖDERMANLANDS LÄN</t>
        </is>
      </c>
      <c r="E14" t="inlineStr">
        <is>
          <t>TROSA</t>
        </is>
      </c>
      <c r="F14" t="inlineStr">
        <is>
          <t>Kommuner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HYPERLINK("https://klasma.github.io/Logging_0488/artfynd/A 55760-2020 artfynd.xlsx", "A 55760-2020")</f>
        <v/>
      </c>
      <c r="T14">
        <f>HYPERLINK("https://klasma.github.io/Logging_0488/kartor/A 55760-2020 karta.png", "A 55760-2020")</f>
        <v/>
      </c>
      <c r="V14">
        <f>HYPERLINK("https://klasma.github.io/Logging_0488/klagomål/A 55760-2020 FSC-klagomål.docx", "A 55760-2020")</f>
        <v/>
      </c>
      <c r="W14">
        <f>HYPERLINK("https://klasma.github.io/Logging_0488/klagomålsmail/A 55760-2020 FSC-klagomål mail.docx", "A 55760-2020")</f>
        <v/>
      </c>
      <c r="X14">
        <f>HYPERLINK("https://klasma.github.io/Logging_0488/tillsyn/A 55760-2020 tillsynsbegäran.docx", "A 55760-2020")</f>
        <v/>
      </c>
      <c r="Y14">
        <f>HYPERLINK("https://klasma.github.io/Logging_0488/tillsynsmail/A 55760-2020 tillsynsbegäran mail.docx", "A 55760-2020")</f>
        <v/>
      </c>
    </row>
    <row r="15" ht="15" customHeight="1">
      <c r="A15" t="inlineStr">
        <is>
          <t>A 37836-2021</t>
        </is>
      </c>
      <c r="B15" s="1" t="n">
        <v>44403</v>
      </c>
      <c r="C15" s="1" t="n">
        <v>45471</v>
      </c>
      <c r="D15" t="inlineStr">
        <is>
          <t>SÖDERMANLANDS LÄN</t>
        </is>
      </c>
      <c r="E15" t="inlineStr">
        <is>
          <t>TROSA</t>
        </is>
      </c>
      <c r="F15" t="inlineStr">
        <is>
          <t>Övriga statliga verk och myndigheter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HYPERLINK("https://klasma.github.io/Logging_0488/artfynd/A 37836-2021 artfynd.xlsx", "A 37836-2021")</f>
        <v/>
      </c>
      <c r="T15">
        <f>HYPERLINK("https://klasma.github.io/Logging_0488/kartor/A 37836-2021 karta.png", "A 37836-2021")</f>
        <v/>
      </c>
      <c r="U15">
        <f>HYPERLINK("https://klasma.github.io/Logging_0488/knärot/A 37836-2021 karta knärot.png", "A 37836-2021")</f>
        <v/>
      </c>
      <c r="V15">
        <f>HYPERLINK("https://klasma.github.io/Logging_0488/klagomål/A 37836-2021 FSC-klagomål.docx", "A 37836-2021")</f>
        <v/>
      </c>
      <c r="W15">
        <f>HYPERLINK("https://klasma.github.io/Logging_0488/klagomålsmail/A 37836-2021 FSC-klagomål mail.docx", "A 37836-2021")</f>
        <v/>
      </c>
      <c r="X15">
        <f>HYPERLINK("https://klasma.github.io/Logging_0488/tillsyn/A 37836-2021 tillsynsbegäran.docx", "A 37836-2021")</f>
        <v/>
      </c>
      <c r="Y15">
        <f>HYPERLINK("https://klasma.github.io/Logging_0488/tillsynsmail/A 37836-2021 tillsynsbegäran mail.docx", "A 37836-2021")</f>
        <v/>
      </c>
    </row>
    <row r="16" ht="15" customHeight="1">
      <c r="A16" t="inlineStr">
        <is>
          <t>A 63029-2021</t>
        </is>
      </c>
      <c r="B16" s="1" t="n">
        <v>44505</v>
      </c>
      <c r="C16" s="1" t="n">
        <v>45471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1.4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Bredbrämad bastardsvärmare</t>
        </is>
      </c>
      <c r="S16">
        <f>HYPERLINK("https://klasma.github.io/Logging_0488/artfynd/A 63029-2021 artfynd.xlsx", "A 63029-2021")</f>
        <v/>
      </c>
      <c r="T16">
        <f>HYPERLINK("https://klasma.github.io/Logging_0488/kartor/A 63029-2021 karta.png", "A 63029-2021")</f>
        <v/>
      </c>
      <c r="V16">
        <f>HYPERLINK("https://klasma.github.io/Logging_0488/klagomål/A 63029-2021 FSC-klagomål.docx", "A 63029-2021")</f>
        <v/>
      </c>
      <c r="W16">
        <f>HYPERLINK("https://klasma.github.io/Logging_0488/klagomålsmail/A 63029-2021 FSC-klagomål mail.docx", "A 63029-2021")</f>
        <v/>
      </c>
      <c r="X16">
        <f>HYPERLINK("https://klasma.github.io/Logging_0488/tillsyn/A 63029-2021 tillsynsbegäran.docx", "A 63029-2021")</f>
        <v/>
      </c>
      <c r="Y16">
        <f>HYPERLINK("https://klasma.github.io/Logging_0488/tillsynsmail/A 63029-2021 tillsynsbegäran mail.docx", "A 63029-2021")</f>
        <v/>
      </c>
    </row>
    <row r="17" ht="15" customHeight="1">
      <c r="A17" t="inlineStr">
        <is>
          <t>A 2699-2023</t>
        </is>
      </c>
      <c r="B17" s="1" t="n">
        <v>44944</v>
      </c>
      <c r="C17" s="1" t="n">
        <v>45471</v>
      </c>
      <c r="D17" t="inlineStr">
        <is>
          <t>SÖDERMANLANDS LÄN</t>
        </is>
      </c>
      <c r="E17" t="inlineStr">
        <is>
          <t>TROSA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Granticka</t>
        </is>
      </c>
      <c r="S17">
        <f>HYPERLINK("https://klasma.github.io/Logging_0488/artfynd/A 2699-2023 artfynd.xlsx", "A 2699-2023")</f>
        <v/>
      </c>
      <c r="T17">
        <f>HYPERLINK("https://klasma.github.io/Logging_0488/kartor/A 2699-2023 karta.png", "A 2699-2023")</f>
        <v/>
      </c>
      <c r="V17">
        <f>HYPERLINK("https://klasma.github.io/Logging_0488/klagomål/A 2699-2023 FSC-klagomål.docx", "A 2699-2023")</f>
        <v/>
      </c>
      <c r="W17">
        <f>HYPERLINK("https://klasma.github.io/Logging_0488/klagomålsmail/A 2699-2023 FSC-klagomål mail.docx", "A 2699-2023")</f>
        <v/>
      </c>
      <c r="X17">
        <f>HYPERLINK("https://klasma.github.io/Logging_0488/tillsyn/A 2699-2023 tillsynsbegäran.docx", "A 2699-2023")</f>
        <v/>
      </c>
      <c r="Y17">
        <f>HYPERLINK("https://klasma.github.io/Logging_0488/tillsynsmail/A 2699-2023 tillsynsbegäran mail.docx", "A 2699-2023")</f>
        <v/>
      </c>
    </row>
    <row r="18" ht="15" customHeight="1">
      <c r="A18" t="inlineStr">
        <is>
          <t>A 32189-2019</t>
        </is>
      </c>
      <c r="B18" s="1" t="n">
        <v>43643</v>
      </c>
      <c r="C18" s="1" t="n">
        <v>45471</v>
      </c>
      <c r="D18" t="inlineStr">
        <is>
          <t>SÖDERMANLANDS LÄN</t>
        </is>
      </c>
      <c r="E18" t="inlineStr">
        <is>
          <t>TROSA</t>
        </is>
      </c>
      <c r="G18" t="n">
        <v>17.1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33397-2019</t>
        </is>
      </c>
      <c r="B19" s="1" t="n">
        <v>43650</v>
      </c>
      <c r="C19" s="1" t="n">
        <v>45471</v>
      </c>
      <c r="D19" t="inlineStr">
        <is>
          <t>SÖDERMANLANDS LÄN</t>
        </is>
      </c>
      <c r="E19" t="inlineStr">
        <is>
          <t>TROSA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38288-2019</t>
        </is>
      </c>
      <c r="B20" s="1" t="n">
        <v>43684</v>
      </c>
      <c r="C20" s="1" t="n">
        <v>45471</v>
      </c>
      <c r="D20" t="inlineStr">
        <is>
          <t>SÖDERMANLANDS LÄN</t>
        </is>
      </c>
      <c r="E20" t="inlineStr">
        <is>
          <t>TROSA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41877-2019</t>
        </is>
      </c>
      <c r="B21" s="1" t="n">
        <v>43700</v>
      </c>
      <c r="C21" s="1" t="n">
        <v>45471</v>
      </c>
      <c r="D21" t="inlineStr">
        <is>
          <t>SÖDERMANLANDS LÄN</t>
        </is>
      </c>
      <c r="E21" t="inlineStr">
        <is>
          <t>TROSA</t>
        </is>
      </c>
      <c r="F21" t="inlineStr">
        <is>
          <t>Övriga Aktiebolag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41893-2019</t>
        </is>
      </c>
      <c r="B22" s="1" t="n">
        <v>43700</v>
      </c>
      <c r="C22" s="1" t="n">
        <v>45471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41830-2019</t>
        </is>
      </c>
      <c r="B23" s="1" t="n">
        <v>43700</v>
      </c>
      <c r="C23" s="1" t="n">
        <v>45471</v>
      </c>
      <c r="D23" t="inlineStr">
        <is>
          <t>SÖDERMANLANDS LÄN</t>
        </is>
      </c>
      <c r="E23" t="inlineStr">
        <is>
          <t>TROSA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41869-2019</t>
        </is>
      </c>
      <c r="B24" s="1" t="n">
        <v>43700</v>
      </c>
      <c r="C24" s="1" t="n">
        <v>45471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41902-2019</t>
        </is>
      </c>
      <c r="B25" s="1" t="n">
        <v>43700</v>
      </c>
      <c r="C25" s="1" t="n">
        <v>45471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42516-2019</t>
        </is>
      </c>
      <c r="B26" s="1" t="n">
        <v>43704</v>
      </c>
      <c r="C26" s="1" t="n">
        <v>45471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49515-2019</t>
        </is>
      </c>
      <c r="B27" s="1" t="n">
        <v>43732</v>
      </c>
      <c r="C27" s="1" t="n">
        <v>45471</v>
      </c>
      <c r="D27" t="inlineStr">
        <is>
          <t>SÖDERMANLANDS LÄN</t>
        </is>
      </c>
      <c r="E27" t="inlineStr">
        <is>
          <t>TROSA</t>
        </is>
      </c>
      <c r="F27" t="inlineStr">
        <is>
          <t>Holmen skog AB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52465-2019</t>
        </is>
      </c>
      <c r="B28" s="1" t="n">
        <v>43745</v>
      </c>
      <c r="C28" s="1" t="n">
        <v>45471</v>
      </c>
      <c r="D28" t="inlineStr">
        <is>
          <t>SÖDERMANLANDS LÄN</t>
        </is>
      </c>
      <c r="E28" t="inlineStr">
        <is>
          <t>TROSA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63732-2019</t>
        </is>
      </c>
      <c r="B29" s="1" t="n">
        <v>43790</v>
      </c>
      <c r="C29" s="1" t="n">
        <v>45471</v>
      </c>
      <c r="D29" t="inlineStr">
        <is>
          <t>SÖDERMANLANDS LÄN</t>
        </is>
      </c>
      <c r="E29" t="inlineStr">
        <is>
          <t>TROSA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63343-2019</t>
        </is>
      </c>
      <c r="B30" s="1" t="n">
        <v>43794</v>
      </c>
      <c r="C30" s="1" t="n">
        <v>45471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66647-2019</t>
        </is>
      </c>
      <c r="B31" s="1" t="n">
        <v>43809</v>
      </c>
      <c r="C31" s="1" t="n">
        <v>45471</v>
      </c>
      <c r="D31" t="inlineStr">
        <is>
          <t>SÖDERMANLANDS LÄN</t>
        </is>
      </c>
      <c r="E31" t="inlineStr">
        <is>
          <t>TROSA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4869-2020</t>
        </is>
      </c>
      <c r="B32" s="1" t="n">
        <v>43859</v>
      </c>
      <c r="C32" s="1" t="n">
        <v>45471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4848-2020</t>
        </is>
      </c>
      <c r="B33" s="1" t="n">
        <v>43859</v>
      </c>
      <c r="C33" s="1" t="n">
        <v>45471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5803-2020</t>
        </is>
      </c>
      <c r="B34" s="1" t="n">
        <v>43864</v>
      </c>
      <c r="C34" s="1" t="n">
        <v>45471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6049-2020</t>
        </is>
      </c>
      <c r="B35" s="1" t="n">
        <v>43865</v>
      </c>
      <c r="C35" s="1" t="n">
        <v>45471</v>
      </c>
      <c r="D35" t="inlineStr">
        <is>
          <t>SÖDERMANLANDS LÄN</t>
        </is>
      </c>
      <c r="E35" t="inlineStr">
        <is>
          <t>TROSA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10374-2020</t>
        </is>
      </c>
      <c r="B36" s="1" t="n">
        <v>43885</v>
      </c>
      <c r="C36" s="1" t="n">
        <v>45471</v>
      </c>
      <c r="D36" t="inlineStr">
        <is>
          <t>SÖDERMANLANDS LÄN</t>
        </is>
      </c>
      <c r="E36" t="inlineStr">
        <is>
          <t>TROSA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11189-2020</t>
        </is>
      </c>
      <c r="B37" s="1" t="n">
        <v>43892</v>
      </c>
      <c r="C37" s="1" t="n">
        <v>45471</v>
      </c>
      <c r="D37" t="inlineStr">
        <is>
          <t>SÖDERMANLANDS LÄN</t>
        </is>
      </c>
      <c r="E37" t="inlineStr">
        <is>
          <t>TROSA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12369-2020</t>
        </is>
      </c>
      <c r="B38" s="1" t="n">
        <v>43896</v>
      </c>
      <c r="C38" s="1" t="n">
        <v>45471</v>
      </c>
      <c r="D38" t="inlineStr">
        <is>
          <t>SÖDERMANLANDS LÄN</t>
        </is>
      </c>
      <c r="E38" t="inlineStr">
        <is>
          <t>TROSA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21395-2020</t>
        </is>
      </c>
      <c r="B39" s="1" t="n">
        <v>43955</v>
      </c>
      <c r="C39" s="1" t="n">
        <v>45471</v>
      </c>
      <c r="D39" t="inlineStr">
        <is>
          <t>SÖDERMANLANDS LÄN</t>
        </is>
      </c>
      <c r="E39" t="inlineStr">
        <is>
          <t>TROSA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21400-2020</t>
        </is>
      </c>
      <c r="B40" s="1" t="n">
        <v>43955</v>
      </c>
      <c r="C40" s="1" t="n">
        <v>45471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22932-2020</t>
        </is>
      </c>
      <c r="B41" s="1" t="n">
        <v>43963</v>
      </c>
      <c r="C41" s="1" t="n">
        <v>45471</v>
      </c>
      <c r="D41" t="inlineStr">
        <is>
          <t>SÖDERMANLANDS LÄN</t>
        </is>
      </c>
      <c r="E41" t="inlineStr">
        <is>
          <t>TROSA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28137-2020</t>
        </is>
      </c>
      <c r="B42" s="1" t="n">
        <v>43997</v>
      </c>
      <c r="C42" s="1" t="n">
        <v>45471</v>
      </c>
      <c r="D42" t="inlineStr">
        <is>
          <t>SÖDERMANLANDS LÄN</t>
        </is>
      </c>
      <c r="E42" t="inlineStr">
        <is>
          <t>TROSA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28141-2020</t>
        </is>
      </c>
      <c r="B43" s="1" t="n">
        <v>43997</v>
      </c>
      <c r="C43" s="1" t="n">
        <v>45471</v>
      </c>
      <c r="D43" t="inlineStr">
        <is>
          <t>SÖDERMANLANDS LÄN</t>
        </is>
      </c>
      <c r="E43" t="inlineStr">
        <is>
          <t>TROSA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29410-2020</t>
        </is>
      </c>
      <c r="B44" s="1" t="n">
        <v>44004</v>
      </c>
      <c r="C44" s="1" t="n">
        <v>45471</v>
      </c>
      <c r="D44" t="inlineStr">
        <is>
          <t>SÖDERMANLANDS LÄN</t>
        </is>
      </c>
      <c r="E44" t="inlineStr">
        <is>
          <t>TROSA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38877-2020</t>
        </is>
      </c>
      <c r="B45" s="1" t="n">
        <v>44062</v>
      </c>
      <c r="C45" s="1" t="n">
        <v>45471</v>
      </c>
      <c r="D45" t="inlineStr">
        <is>
          <t>SÖDERMANLANDS LÄN</t>
        </is>
      </c>
      <c r="E45" t="inlineStr">
        <is>
          <t>TROSA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39963-2020</t>
        </is>
      </c>
      <c r="B46" s="1" t="n">
        <v>44067</v>
      </c>
      <c r="C46" s="1" t="n">
        <v>45471</v>
      </c>
      <c r="D46" t="inlineStr">
        <is>
          <t>SÖDERMANLANDS LÄN</t>
        </is>
      </c>
      <c r="E46" t="inlineStr">
        <is>
          <t>TROSA</t>
        </is>
      </c>
      <c r="F46" t="inlineStr">
        <is>
          <t>Kommuner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40498-2020</t>
        </is>
      </c>
      <c r="B47" s="1" t="n">
        <v>44069</v>
      </c>
      <c r="C47" s="1" t="n">
        <v>45471</v>
      </c>
      <c r="D47" t="inlineStr">
        <is>
          <t>SÖDERMANLANDS LÄN</t>
        </is>
      </c>
      <c r="E47" t="inlineStr">
        <is>
          <t>TROSA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45043-2020</t>
        </is>
      </c>
      <c r="B48" s="1" t="n">
        <v>44088</v>
      </c>
      <c r="C48" s="1" t="n">
        <v>45471</v>
      </c>
      <c r="D48" t="inlineStr">
        <is>
          <t>SÖDERMANLANDS LÄN</t>
        </is>
      </c>
      <c r="E48" t="inlineStr">
        <is>
          <t>TROSA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45107-2020</t>
        </is>
      </c>
      <c r="B49" s="1" t="n">
        <v>44088</v>
      </c>
      <c r="C49" s="1" t="n">
        <v>45471</v>
      </c>
      <c r="D49" t="inlineStr">
        <is>
          <t>SÖDERMANLANDS LÄN</t>
        </is>
      </c>
      <c r="E49" t="inlineStr">
        <is>
          <t>TROSA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45161-2020</t>
        </is>
      </c>
      <c r="B50" s="1" t="n">
        <v>44088</v>
      </c>
      <c r="C50" s="1" t="n">
        <v>45471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45016-2020</t>
        </is>
      </c>
      <c r="B51" s="1" t="n">
        <v>44088</v>
      </c>
      <c r="C51" s="1" t="n">
        <v>45471</v>
      </c>
      <c r="D51" t="inlineStr">
        <is>
          <t>SÖDERMANLANDS LÄN</t>
        </is>
      </c>
      <c r="E51" t="inlineStr">
        <is>
          <t>TROSA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45071-2020</t>
        </is>
      </c>
      <c r="B52" s="1" t="n">
        <v>44088</v>
      </c>
      <c r="C52" s="1" t="n">
        <v>45471</v>
      </c>
      <c r="D52" t="inlineStr">
        <is>
          <t>SÖDERMANLANDS LÄN</t>
        </is>
      </c>
      <c r="E52" t="inlineStr">
        <is>
          <t>TROSA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45089-2020</t>
        </is>
      </c>
      <c r="B53" s="1" t="n">
        <v>44088</v>
      </c>
      <c r="C53" s="1" t="n">
        <v>45471</v>
      </c>
      <c r="D53" t="inlineStr">
        <is>
          <t>SÖDERMANLANDS LÄN</t>
        </is>
      </c>
      <c r="E53" t="inlineStr">
        <is>
          <t>TROSA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45132-2020</t>
        </is>
      </c>
      <c r="B54" s="1" t="n">
        <v>44088</v>
      </c>
      <c r="C54" s="1" t="n">
        <v>45471</v>
      </c>
      <c r="D54" t="inlineStr">
        <is>
          <t>SÖDERMANLANDS LÄN</t>
        </is>
      </c>
      <c r="E54" t="inlineStr">
        <is>
          <t>TROSA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45169-2020</t>
        </is>
      </c>
      <c r="B55" s="1" t="n">
        <v>44088</v>
      </c>
      <c r="C55" s="1" t="n">
        <v>45471</v>
      </c>
      <c r="D55" t="inlineStr">
        <is>
          <t>SÖDERMANLANDS LÄN</t>
        </is>
      </c>
      <c r="E55" t="inlineStr">
        <is>
          <t>TROSA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45280-2020</t>
        </is>
      </c>
      <c r="B56" s="1" t="n">
        <v>44088</v>
      </c>
      <c r="C56" s="1" t="n">
        <v>45471</v>
      </c>
      <c r="D56" t="inlineStr">
        <is>
          <t>SÖDERMANLANDS LÄN</t>
        </is>
      </c>
      <c r="E56" t="inlineStr">
        <is>
          <t>TROSA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47228-2020</t>
        </is>
      </c>
      <c r="B57" s="1" t="n">
        <v>44097</v>
      </c>
      <c r="C57" s="1" t="n">
        <v>45471</v>
      </c>
      <c r="D57" t="inlineStr">
        <is>
          <t>SÖDERMANLANDS LÄN</t>
        </is>
      </c>
      <c r="E57" t="inlineStr">
        <is>
          <t>TROSA</t>
        </is>
      </c>
      <c r="F57" t="inlineStr">
        <is>
          <t>Övriga Aktiebolag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47249-2020</t>
        </is>
      </c>
      <c r="B58" s="1" t="n">
        <v>44097</v>
      </c>
      <c r="C58" s="1" t="n">
        <v>45471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48254-2020</t>
        </is>
      </c>
      <c r="B59" s="1" t="n">
        <v>44102</v>
      </c>
      <c r="C59" s="1" t="n">
        <v>45471</v>
      </c>
      <c r="D59" t="inlineStr">
        <is>
          <t>SÖDERMANLANDS LÄN</t>
        </is>
      </c>
      <c r="E59" t="inlineStr">
        <is>
          <t>TROSA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48225-2020</t>
        </is>
      </c>
      <c r="B60" s="1" t="n">
        <v>44102</v>
      </c>
      <c r="C60" s="1" t="n">
        <v>45471</v>
      </c>
      <c r="D60" t="inlineStr">
        <is>
          <t>SÖDERMANLANDS LÄN</t>
        </is>
      </c>
      <c r="E60" t="inlineStr">
        <is>
          <t>TROSA</t>
        </is>
      </c>
      <c r="G60" t="n">
        <v>13.1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48247-2020</t>
        </is>
      </c>
      <c r="B61" s="1" t="n">
        <v>44102</v>
      </c>
      <c r="C61" s="1" t="n">
        <v>45471</v>
      </c>
      <c r="D61" t="inlineStr">
        <is>
          <t>SÖDERMANLANDS LÄN</t>
        </is>
      </c>
      <c r="E61" t="inlineStr">
        <is>
          <t>TROSA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48279-2020</t>
        </is>
      </c>
      <c r="B62" s="1" t="n">
        <v>44102</v>
      </c>
      <c r="C62" s="1" t="n">
        <v>45471</v>
      </c>
      <c r="D62" t="inlineStr">
        <is>
          <t>SÖDERMANLANDS LÄN</t>
        </is>
      </c>
      <c r="E62" t="inlineStr">
        <is>
          <t>TROSA</t>
        </is>
      </c>
      <c r="G62" t="n">
        <v>32.8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55719-2020</t>
        </is>
      </c>
      <c r="B63" s="1" t="n">
        <v>44132</v>
      </c>
      <c r="C63" s="1" t="n">
        <v>45471</v>
      </c>
      <c r="D63" t="inlineStr">
        <is>
          <t>SÖDERMANLANDS LÄN</t>
        </is>
      </c>
      <c r="E63" t="inlineStr">
        <is>
          <t>TROSA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55753-2020</t>
        </is>
      </c>
      <c r="B64" s="1" t="n">
        <v>44132</v>
      </c>
      <c r="C64" s="1" t="n">
        <v>45471</v>
      </c>
      <c r="D64" t="inlineStr">
        <is>
          <t>SÖDERMANLANDS LÄN</t>
        </is>
      </c>
      <c r="E64" t="inlineStr">
        <is>
          <t>TROSA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55746-2020</t>
        </is>
      </c>
      <c r="B65" s="1" t="n">
        <v>44132</v>
      </c>
      <c r="C65" s="1" t="n">
        <v>45471</v>
      </c>
      <c r="D65" t="inlineStr">
        <is>
          <t>SÖDERMANLANDS LÄN</t>
        </is>
      </c>
      <c r="E65" t="inlineStr">
        <is>
          <t>TROSA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56179-2020</t>
        </is>
      </c>
      <c r="B66" s="1" t="n">
        <v>44133</v>
      </c>
      <c r="C66" s="1" t="n">
        <v>45471</v>
      </c>
      <c r="D66" t="inlineStr">
        <is>
          <t>SÖDERMANLANDS LÄN</t>
        </is>
      </c>
      <c r="E66" t="inlineStr">
        <is>
          <t>TROSA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59927-2020</t>
        </is>
      </c>
      <c r="B67" s="1" t="n">
        <v>44151</v>
      </c>
      <c r="C67" s="1" t="n">
        <v>45471</v>
      </c>
      <c r="D67" t="inlineStr">
        <is>
          <t>SÖDERMANLANDS LÄN</t>
        </is>
      </c>
      <c r="E67" t="inlineStr">
        <is>
          <t>TROSA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7127-2021</t>
        </is>
      </c>
      <c r="B68" s="1" t="n">
        <v>44238</v>
      </c>
      <c r="C68" s="1" t="n">
        <v>45471</v>
      </c>
      <c r="D68" t="inlineStr">
        <is>
          <t>SÖDERMANLANDS LÄN</t>
        </is>
      </c>
      <c r="E68" t="inlineStr">
        <is>
          <t>TROSA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7138-2021</t>
        </is>
      </c>
      <c r="B69" s="1" t="n">
        <v>44238</v>
      </c>
      <c r="C69" s="1" t="n">
        <v>45471</v>
      </c>
      <c r="D69" t="inlineStr">
        <is>
          <t>SÖDERMANLANDS LÄN</t>
        </is>
      </c>
      <c r="E69" t="inlineStr">
        <is>
          <t>TROSA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45471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45471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45471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45471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45471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45471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45471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45471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45471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45471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45471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45471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45471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45471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45471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45471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45471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45471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45471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45471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45471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45471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45471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45471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45471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45471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45471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45471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45471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45471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45471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45471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45471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45471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45471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45471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45471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45471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45471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45471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45471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45471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45471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45471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45471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45471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45471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45471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45471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45471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45471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45471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45471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45471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45471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45471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45471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45471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45471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45471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45471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45471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45471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45471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45471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45471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45471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45471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45471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45471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45471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45471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45471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45471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45471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45471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45471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26782-2024</t>
        </is>
      </c>
      <c r="B147" s="1" t="n">
        <v>45470</v>
      </c>
      <c r="C147" s="1" t="n">
        <v>45471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2024-06-28T10:02:41Z</dcterms:created>
  <dcterms:modified xmlns:dcterms="http://purl.org/dc/terms/" xmlns:xsi="http://www.w3.org/2001/XMLSchema-instance" xsi:type="dcterms:W3CDTF">2024-06-28T10:02:41Z</dcterms:modified>
</cp:coreProperties>
</file>