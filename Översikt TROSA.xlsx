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16314-2020</t>
        </is>
      </c>
      <c r="B2" s="1" t="n">
        <v>43917</v>
      </c>
      <c r="C2" s="1" t="n">
        <v>45648</v>
      </c>
      <c r="D2" t="inlineStr">
        <is>
          <t>SÖDERMANLANDS LÄN</t>
        </is>
      </c>
      <c r="E2" t="inlineStr">
        <is>
          <t>TROSA</t>
        </is>
      </c>
      <c r="G2" t="n">
        <v>54.2</v>
      </c>
      <c r="H2" t="n">
        <v>4</v>
      </c>
      <c r="I2" t="n">
        <v>14</v>
      </c>
      <c r="J2" t="n">
        <v>4</v>
      </c>
      <c r="K2" t="n">
        <v>4</v>
      </c>
      <c r="L2" t="n">
        <v>0</v>
      </c>
      <c r="M2" t="n">
        <v>0</v>
      </c>
      <c r="N2" t="n">
        <v>0</v>
      </c>
      <c r="O2" t="n">
        <v>8</v>
      </c>
      <c r="P2" t="n">
        <v>4</v>
      </c>
      <c r="Q2" t="n">
        <v>24</v>
      </c>
      <c r="R2" s="2" t="inlineStr">
        <is>
          <t>Blackticka
Gråtrut
Knärot
Koppartaggsvamp
Blå taggsvamp
Gultoppig fingersvamp
Motaggsvamp
Tallticka
Blåmossa
Fjällig taggsvamp s.str.
Grovticka
Grönpyrola
Kattfotslav
Kornknutmossa
Kryddspindling
Mandelriska
Rödgul trumpetsvamp
Skarp dropptaggsvamp
Stubbspretmossa
Svavelriska
Sårläka
Trådticka
Blåsippa
Lopplummer</t>
        </is>
      </c>
      <c r="S2">
        <f>HYPERLINK("https://klasma.github.io/Logging_0488/artfynd/A 16314-2020 artfynd.xlsx", "A 16314-2020")</f>
        <v/>
      </c>
      <c r="T2">
        <f>HYPERLINK("https://klasma.github.io/Logging_0488/kartor/A 16314-2020 karta.png", "A 16314-2020")</f>
        <v/>
      </c>
      <c r="U2">
        <f>HYPERLINK("https://klasma.github.io/Logging_0488/knärot/A 16314-2020 karta knärot.png", "A 16314-2020")</f>
        <v/>
      </c>
      <c r="V2">
        <f>HYPERLINK("https://klasma.github.io/Logging_0488/klagomål/A 16314-2020 FSC-klagomål.docx", "A 16314-2020")</f>
        <v/>
      </c>
      <c r="W2">
        <f>HYPERLINK("https://klasma.github.io/Logging_0488/klagomålsmail/A 16314-2020 FSC-klagomål mail.docx", "A 16314-2020")</f>
        <v/>
      </c>
      <c r="X2">
        <f>HYPERLINK("https://klasma.github.io/Logging_0488/tillsyn/A 16314-2020 tillsynsbegäran.docx", "A 16314-2020")</f>
        <v/>
      </c>
      <c r="Y2">
        <f>HYPERLINK("https://klasma.github.io/Logging_0488/tillsynsmail/A 16314-2020 tillsynsbegäran mail.docx", "A 16314-2020")</f>
        <v/>
      </c>
    </row>
    <row r="3" ht="15" customHeight="1">
      <c r="A3" t="inlineStr">
        <is>
          <t>A 42503-2019</t>
        </is>
      </c>
      <c r="B3" s="1" t="n">
        <v>43704</v>
      </c>
      <c r="C3" s="1" t="n">
        <v>45648</v>
      </c>
      <c r="D3" t="inlineStr">
        <is>
          <t>SÖDERMANLANDS LÄN</t>
        </is>
      </c>
      <c r="E3" t="inlineStr">
        <is>
          <t>TROSA</t>
        </is>
      </c>
      <c r="F3" t="inlineStr">
        <is>
          <t>Övriga Aktiebolag</t>
        </is>
      </c>
      <c r="G3" t="n">
        <v>29.3</v>
      </c>
      <c r="H3" t="n">
        <v>1</v>
      </c>
      <c r="I3" t="n">
        <v>6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Lunglav
Oxtungssvamp
Vedtrappmossa
Blåmossa
Grovticka
Guldlockmossa
Gulpudrad spiklav
Rostfläck
Stubbspretmossa</t>
        </is>
      </c>
      <c r="S3">
        <f>HYPERLINK("https://klasma.github.io/Logging_0488/artfynd/A 42503-2019 artfynd.xlsx", "A 42503-2019")</f>
        <v/>
      </c>
      <c r="T3">
        <f>HYPERLINK("https://klasma.github.io/Logging_0488/kartor/A 42503-2019 karta.png", "A 42503-2019")</f>
        <v/>
      </c>
      <c r="U3">
        <f>HYPERLINK("https://klasma.github.io/Logging_0488/knärot/A 42503-2019 karta knärot.png", "A 42503-2019")</f>
        <v/>
      </c>
      <c r="V3">
        <f>HYPERLINK("https://klasma.github.io/Logging_0488/klagomål/A 42503-2019 FSC-klagomål.docx", "A 42503-2019")</f>
        <v/>
      </c>
      <c r="W3">
        <f>HYPERLINK("https://klasma.github.io/Logging_0488/klagomålsmail/A 42503-2019 FSC-klagomål mail.docx", "A 42503-2019")</f>
        <v/>
      </c>
      <c r="X3">
        <f>HYPERLINK("https://klasma.github.io/Logging_0488/tillsyn/A 42503-2019 tillsynsbegäran.docx", "A 42503-2019")</f>
        <v/>
      </c>
      <c r="Y3">
        <f>HYPERLINK("https://klasma.github.io/Logging_0488/tillsynsmail/A 42503-2019 tillsynsbegäran mail.docx", "A 42503-2019")</f>
        <v/>
      </c>
    </row>
    <row r="4" ht="15" customHeight="1">
      <c r="A4" t="inlineStr">
        <is>
          <t>A 40489-2020</t>
        </is>
      </c>
      <c r="B4" s="1" t="n">
        <v>44069</v>
      </c>
      <c r="C4" s="1" t="n">
        <v>45648</v>
      </c>
      <c r="D4" t="inlineStr">
        <is>
          <t>SÖDERMANLANDS LÄN</t>
        </is>
      </c>
      <c r="E4" t="inlineStr">
        <is>
          <t>TROSA</t>
        </is>
      </c>
      <c r="G4" t="n">
        <v>6.6</v>
      </c>
      <c r="H4" t="n">
        <v>5</v>
      </c>
      <c r="I4" t="n">
        <v>0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5</v>
      </c>
      <c r="R4" s="2" t="inlineStr">
        <is>
          <t>Kricka
Tallbit
Gulsparv
Svartvit flugsnappare
Järnsparv</t>
        </is>
      </c>
      <c r="S4">
        <f>HYPERLINK("https://klasma.github.io/Logging_0488/artfynd/A 40489-2020 artfynd.xlsx", "A 40489-2020")</f>
        <v/>
      </c>
      <c r="T4">
        <f>HYPERLINK("https://klasma.github.io/Logging_0488/kartor/A 40489-2020 karta.png", "A 40489-2020")</f>
        <v/>
      </c>
      <c r="V4">
        <f>HYPERLINK("https://klasma.github.io/Logging_0488/klagomål/A 40489-2020 FSC-klagomål.docx", "A 40489-2020")</f>
        <v/>
      </c>
      <c r="W4">
        <f>HYPERLINK("https://klasma.github.io/Logging_0488/klagomålsmail/A 40489-2020 FSC-klagomål mail.docx", "A 40489-2020")</f>
        <v/>
      </c>
      <c r="X4">
        <f>HYPERLINK("https://klasma.github.io/Logging_0488/tillsyn/A 40489-2020 tillsynsbegäran.docx", "A 40489-2020")</f>
        <v/>
      </c>
      <c r="Y4">
        <f>HYPERLINK("https://klasma.github.io/Logging_0488/tillsynsmail/A 40489-2020 tillsynsbegäran mail.docx", "A 40489-2020")</f>
        <v/>
      </c>
      <c r="Z4">
        <f>HYPERLINK("https://klasma.github.io/Logging_0488/fåglar/A 40489-2020 prioriterade fågelarter.docx", "A 40489-2020")</f>
        <v/>
      </c>
    </row>
    <row r="5" ht="15" customHeight="1">
      <c r="A5" t="inlineStr">
        <is>
          <t>A 38880-2020</t>
        </is>
      </c>
      <c r="B5" s="1" t="n">
        <v>44062</v>
      </c>
      <c r="C5" s="1" t="n">
        <v>45648</v>
      </c>
      <c r="D5" t="inlineStr">
        <is>
          <t>SÖDERMANLANDS LÄN</t>
        </is>
      </c>
      <c r="E5" t="inlineStr">
        <is>
          <t>TROSA</t>
        </is>
      </c>
      <c r="G5" t="n">
        <v>8.9</v>
      </c>
      <c r="H5" t="n">
        <v>4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Kricka
Åkergroda
Mindre vattensalamander
Vanlig padda</t>
        </is>
      </c>
      <c r="S5">
        <f>HYPERLINK("https://klasma.github.io/Logging_0488/artfynd/A 38880-2020 artfynd.xlsx", "A 38880-2020")</f>
        <v/>
      </c>
      <c r="T5">
        <f>HYPERLINK("https://klasma.github.io/Logging_0488/kartor/A 38880-2020 karta.png", "A 38880-2020")</f>
        <v/>
      </c>
      <c r="V5">
        <f>HYPERLINK("https://klasma.github.io/Logging_0488/klagomål/A 38880-2020 FSC-klagomål.docx", "A 38880-2020")</f>
        <v/>
      </c>
      <c r="W5">
        <f>HYPERLINK("https://klasma.github.io/Logging_0488/klagomålsmail/A 38880-2020 FSC-klagomål mail.docx", "A 38880-2020")</f>
        <v/>
      </c>
      <c r="X5">
        <f>HYPERLINK("https://klasma.github.io/Logging_0488/tillsyn/A 38880-2020 tillsynsbegäran.docx", "A 38880-2020")</f>
        <v/>
      </c>
      <c r="Y5">
        <f>HYPERLINK("https://klasma.github.io/Logging_0488/tillsynsmail/A 38880-2020 tillsynsbegäran mail.docx", "A 38880-2020")</f>
        <v/>
      </c>
      <c r="Z5">
        <f>HYPERLINK("https://klasma.github.io/Logging_0488/fåglar/A 38880-2020 prioriterade fågelarter.docx", "A 38880-2020")</f>
        <v/>
      </c>
    </row>
    <row r="6" ht="15" customHeight="1">
      <c r="A6" t="inlineStr">
        <is>
          <t>A 45296-2020</t>
        </is>
      </c>
      <c r="B6" s="1" t="n">
        <v>44088</v>
      </c>
      <c r="C6" s="1" t="n">
        <v>45648</v>
      </c>
      <c r="D6" t="inlineStr">
        <is>
          <t>SÖDERMANLANDS LÄN</t>
        </is>
      </c>
      <c r="E6" t="inlineStr">
        <is>
          <t>TROSA</t>
        </is>
      </c>
      <c r="G6" t="n">
        <v>49.6</v>
      </c>
      <c r="H6" t="n">
        <v>3</v>
      </c>
      <c r="I6" t="n">
        <v>0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4</v>
      </c>
      <c r="R6" s="2" t="inlineStr">
        <is>
          <t>Kricka
Tofsvipa
Rödvingetrast
Svedjenäva</t>
        </is>
      </c>
      <c r="S6">
        <f>HYPERLINK("https://klasma.github.io/Logging_0488/artfynd/A 45296-2020 artfynd.xlsx", "A 45296-2020")</f>
        <v/>
      </c>
      <c r="T6">
        <f>HYPERLINK("https://klasma.github.io/Logging_0488/kartor/A 45296-2020 karta.png", "A 45296-2020")</f>
        <v/>
      </c>
      <c r="V6">
        <f>HYPERLINK("https://klasma.github.io/Logging_0488/klagomål/A 45296-2020 FSC-klagomål.docx", "A 45296-2020")</f>
        <v/>
      </c>
      <c r="W6">
        <f>HYPERLINK("https://klasma.github.io/Logging_0488/klagomålsmail/A 45296-2020 FSC-klagomål mail.docx", "A 45296-2020")</f>
        <v/>
      </c>
      <c r="X6">
        <f>HYPERLINK("https://klasma.github.io/Logging_0488/tillsyn/A 45296-2020 tillsynsbegäran.docx", "A 45296-2020")</f>
        <v/>
      </c>
      <c r="Y6">
        <f>HYPERLINK("https://klasma.github.io/Logging_0488/tillsynsmail/A 45296-2020 tillsynsbegäran mail.docx", "A 45296-2020")</f>
        <v/>
      </c>
      <c r="Z6">
        <f>HYPERLINK("https://klasma.github.io/Logging_0488/fåglar/A 45296-2020 prioriterade fågelarter.docx", "A 45296-2020")</f>
        <v/>
      </c>
    </row>
    <row r="7" ht="15" customHeight="1">
      <c r="A7" t="inlineStr">
        <is>
          <t>A 41919-2019</t>
        </is>
      </c>
      <c r="B7" s="1" t="n">
        <v>43700</v>
      </c>
      <c r="C7" s="1" t="n">
        <v>45648</v>
      </c>
      <c r="D7" t="inlineStr">
        <is>
          <t>SÖDERMANLANDS LÄN</t>
        </is>
      </c>
      <c r="E7" t="inlineStr">
        <is>
          <t>TROSA</t>
        </is>
      </c>
      <c r="F7" t="inlineStr">
        <is>
          <t>Övriga Aktiebolag</t>
        </is>
      </c>
      <c r="G7" t="n">
        <v>6.8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HYPERLINK("https://klasma.github.io/Logging_0488/artfynd/A 41919-2019 artfynd.xlsx", "A 41919-2019")</f>
        <v/>
      </c>
      <c r="T7">
        <f>HYPERLINK("https://klasma.github.io/Logging_0488/kartor/A 41919-2019 karta.png", "A 41919-2019")</f>
        <v/>
      </c>
      <c r="U7">
        <f>HYPERLINK("https://klasma.github.io/Logging_0488/knärot/A 41919-2019 karta knärot.png", "A 41919-2019")</f>
        <v/>
      </c>
      <c r="V7">
        <f>HYPERLINK("https://klasma.github.io/Logging_0488/klagomål/A 41919-2019 FSC-klagomål.docx", "A 41919-2019")</f>
        <v/>
      </c>
      <c r="W7">
        <f>HYPERLINK("https://klasma.github.io/Logging_0488/klagomålsmail/A 41919-2019 FSC-klagomål mail.docx", "A 41919-2019")</f>
        <v/>
      </c>
      <c r="X7">
        <f>HYPERLINK("https://klasma.github.io/Logging_0488/tillsyn/A 41919-2019 tillsynsbegäran.docx", "A 41919-2019")</f>
        <v/>
      </c>
      <c r="Y7">
        <f>HYPERLINK("https://klasma.github.io/Logging_0488/tillsynsmail/A 41919-2019 tillsynsbegäran mail.docx", "A 41919-2019")</f>
        <v/>
      </c>
      <c r="Z7">
        <f>HYPERLINK("https://klasma.github.io/Logging_0488/fåglar/A 41919-2019 prioriterade fågelarter.docx", "A 41919-2019")</f>
        <v/>
      </c>
    </row>
    <row r="8" ht="15" customHeight="1">
      <c r="A8" t="inlineStr">
        <is>
          <t>A 60748-2019</t>
        </is>
      </c>
      <c r="B8" s="1" t="n">
        <v>43781</v>
      </c>
      <c r="C8" s="1" t="n">
        <v>45648</v>
      </c>
      <c r="D8" t="inlineStr">
        <is>
          <t>SÖDERMANLANDS LÄN</t>
        </is>
      </c>
      <c r="E8" t="inlineStr">
        <is>
          <t>TROSA</t>
        </is>
      </c>
      <c r="G8" t="n">
        <v>6.2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Fältgentiana
Gullklöver</t>
        </is>
      </c>
      <c r="S8">
        <f>HYPERLINK("https://klasma.github.io/Logging_0488/artfynd/A 60748-2019 artfynd.xlsx", "A 60748-2019")</f>
        <v/>
      </c>
      <c r="T8">
        <f>HYPERLINK("https://klasma.github.io/Logging_0488/kartor/A 60748-2019 karta.png", "A 60748-2019")</f>
        <v/>
      </c>
      <c r="V8">
        <f>HYPERLINK("https://klasma.github.io/Logging_0488/klagomål/A 60748-2019 FSC-klagomål.docx", "A 60748-2019")</f>
        <v/>
      </c>
      <c r="W8">
        <f>HYPERLINK("https://klasma.github.io/Logging_0488/klagomålsmail/A 60748-2019 FSC-klagomål mail.docx", "A 60748-2019")</f>
        <v/>
      </c>
      <c r="X8">
        <f>HYPERLINK("https://klasma.github.io/Logging_0488/tillsyn/A 60748-2019 tillsynsbegäran.docx", "A 60748-2019")</f>
        <v/>
      </c>
      <c r="Y8">
        <f>HYPERLINK("https://klasma.github.io/Logging_0488/tillsynsmail/A 60748-2019 tillsynsbegäran mail.docx", "A 60748-2019")</f>
        <v/>
      </c>
    </row>
    <row r="9" ht="15" customHeight="1">
      <c r="A9" t="inlineStr">
        <is>
          <t>A 21940-2020</t>
        </is>
      </c>
      <c r="B9" s="1" t="n">
        <v>43958</v>
      </c>
      <c r="C9" s="1" t="n">
        <v>45648</v>
      </c>
      <c r="D9" t="inlineStr">
        <is>
          <t>SÖDERMANLANDS LÄN</t>
        </is>
      </c>
      <c r="E9" t="inlineStr">
        <is>
          <t>TROSA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Svinrot
Citronfläckad kärrtrollslända</t>
        </is>
      </c>
      <c r="S9">
        <f>HYPERLINK("https://klasma.github.io/Logging_0488/artfynd/A 21940-2020 artfynd.xlsx", "A 21940-2020")</f>
        <v/>
      </c>
      <c r="T9">
        <f>HYPERLINK("https://klasma.github.io/Logging_0488/kartor/A 21940-2020 karta.png", "A 21940-2020")</f>
        <v/>
      </c>
      <c r="V9">
        <f>HYPERLINK("https://klasma.github.io/Logging_0488/klagomål/A 21940-2020 FSC-klagomål.docx", "A 21940-2020")</f>
        <v/>
      </c>
      <c r="W9">
        <f>HYPERLINK("https://klasma.github.io/Logging_0488/klagomålsmail/A 21940-2020 FSC-klagomål mail.docx", "A 21940-2020")</f>
        <v/>
      </c>
      <c r="X9">
        <f>HYPERLINK("https://klasma.github.io/Logging_0488/tillsyn/A 21940-2020 tillsynsbegäran.docx", "A 21940-2020")</f>
        <v/>
      </c>
      <c r="Y9">
        <f>HYPERLINK("https://klasma.github.io/Logging_0488/tillsynsmail/A 21940-2020 tillsynsbegäran mail.docx", "A 21940-2020")</f>
        <v/>
      </c>
    </row>
    <row r="10" ht="15" customHeight="1">
      <c r="A10" t="inlineStr">
        <is>
          <t>A 13760-2022</t>
        </is>
      </c>
      <c r="B10" s="1" t="n">
        <v>44649</v>
      </c>
      <c r="C10" s="1" t="n">
        <v>45648</v>
      </c>
      <c r="D10" t="inlineStr">
        <is>
          <t>SÖDERMANLANDS LÄN</t>
        </is>
      </c>
      <c r="E10" t="inlineStr">
        <is>
          <t>TROSA</t>
        </is>
      </c>
      <c r="F10" t="inlineStr">
        <is>
          <t>Övriga statliga verk och myndigheter</t>
        </is>
      </c>
      <c r="G10" t="n">
        <v>2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Strutbräken</t>
        </is>
      </c>
      <c r="S10">
        <f>HYPERLINK("https://klasma.github.io/Logging_0488/artfynd/A 13760-2022 artfynd.xlsx", "A 13760-2022")</f>
        <v/>
      </c>
      <c r="T10">
        <f>HYPERLINK("https://klasma.github.io/Logging_0488/kartor/A 13760-2022 karta.png", "A 13760-2022")</f>
        <v/>
      </c>
      <c r="V10">
        <f>HYPERLINK("https://klasma.github.io/Logging_0488/klagomål/A 13760-2022 FSC-klagomål.docx", "A 13760-2022")</f>
        <v/>
      </c>
      <c r="W10">
        <f>HYPERLINK("https://klasma.github.io/Logging_0488/klagomålsmail/A 13760-2022 FSC-klagomål mail.docx", "A 13760-2022")</f>
        <v/>
      </c>
      <c r="X10">
        <f>HYPERLINK("https://klasma.github.io/Logging_0488/tillsyn/A 13760-2022 tillsynsbegäran.docx", "A 13760-2022")</f>
        <v/>
      </c>
      <c r="Y10">
        <f>HYPERLINK("https://klasma.github.io/Logging_0488/tillsynsmail/A 13760-2022 tillsynsbegäran mail.docx", "A 13760-2022")</f>
        <v/>
      </c>
    </row>
    <row r="11" ht="15" customHeight="1">
      <c r="A11" t="inlineStr">
        <is>
          <t>A 2699-2023</t>
        </is>
      </c>
      <c r="B11" s="1" t="n">
        <v>44944</v>
      </c>
      <c r="C11" s="1" t="n">
        <v>45648</v>
      </c>
      <c r="D11" t="inlineStr">
        <is>
          <t>SÖDERMANLANDS LÄN</t>
        </is>
      </c>
      <c r="E11" t="inlineStr">
        <is>
          <t>TROSA</t>
        </is>
      </c>
      <c r="G11" t="n">
        <v>4.7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Granticka
Svart trolldruva</t>
        </is>
      </c>
      <c r="S11">
        <f>HYPERLINK("https://klasma.github.io/Logging_0488/artfynd/A 2699-2023 artfynd.xlsx", "A 2699-2023")</f>
        <v/>
      </c>
      <c r="T11">
        <f>HYPERLINK("https://klasma.github.io/Logging_0488/kartor/A 2699-2023 karta.png", "A 2699-2023")</f>
        <v/>
      </c>
      <c r="V11">
        <f>HYPERLINK("https://klasma.github.io/Logging_0488/klagomål/A 2699-2023 FSC-klagomål.docx", "A 2699-2023")</f>
        <v/>
      </c>
      <c r="W11">
        <f>HYPERLINK("https://klasma.github.io/Logging_0488/klagomålsmail/A 2699-2023 FSC-klagomål mail.docx", "A 2699-2023")</f>
        <v/>
      </c>
      <c r="X11">
        <f>HYPERLINK("https://klasma.github.io/Logging_0488/tillsyn/A 2699-2023 tillsynsbegäran.docx", "A 2699-2023")</f>
        <v/>
      </c>
      <c r="Y11">
        <f>HYPERLINK("https://klasma.github.io/Logging_0488/tillsynsmail/A 2699-2023 tillsynsbegäran mail.docx", "A 2699-2023")</f>
        <v/>
      </c>
    </row>
    <row r="12" ht="15" customHeight="1">
      <c r="A12" t="inlineStr">
        <is>
          <t>A 44253-2024</t>
        </is>
      </c>
      <c r="B12" s="1" t="n">
        <v>45573</v>
      </c>
      <c r="C12" s="1" t="n">
        <v>45648</v>
      </c>
      <c r="D12" t="inlineStr">
        <is>
          <t>SÖDERMANLANDS LÄN</t>
        </is>
      </c>
      <c r="E12" t="inlineStr">
        <is>
          <t>TROSA</t>
        </is>
      </c>
      <c r="F12" t="inlineStr">
        <is>
          <t>Holmen skog AB</t>
        </is>
      </c>
      <c r="G12" t="n">
        <v>4.9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Havsörn
Svartvit flugsnappare</t>
        </is>
      </c>
      <c r="S12">
        <f>HYPERLINK("https://klasma.github.io/Logging_0488/artfynd/A 44253-2024 artfynd.xlsx", "A 44253-2024")</f>
        <v/>
      </c>
      <c r="T12">
        <f>HYPERLINK("https://klasma.github.io/Logging_0488/kartor/A 44253-2024 karta.png", "A 44253-2024")</f>
        <v/>
      </c>
      <c r="V12">
        <f>HYPERLINK("https://klasma.github.io/Logging_0488/klagomål/A 44253-2024 FSC-klagomål.docx", "A 44253-2024")</f>
        <v/>
      </c>
      <c r="W12">
        <f>HYPERLINK("https://klasma.github.io/Logging_0488/klagomålsmail/A 44253-2024 FSC-klagomål mail.docx", "A 44253-2024")</f>
        <v/>
      </c>
      <c r="X12">
        <f>HYPERLINK("https://klasma.github.io/Logging_0488/tillsyn/A 44253-2024 tillsynsbegäran.docx", "A 44253-2024")</f>
        <v/>
      </c>
      <c r="Y12">
        <f>HYPERLINK("https://klasma.github.io/Logging_0488/tillsynsmail/A 44253-2024 tillsynsbegäran mail.docx", "A 44253-2024")</f>
        <v/>
      </c>
      <c r="Z12">
        <f>HYPERLINK("https://klasma.github.io/Logging_0488/fåglar/A 44253-2024 prioriterade fågelarter.docx", "A 44253-2024")</f>
        <v/>
      </c>
    </row>
    <row r="13" ht="15" customHeight="1">
      <c r="A13" t="inlineStr">
        <is>
          <t>A 48791-2024</t>
        </is>
      </c>
      <c r="B13" s="1" t="n">
        <v>45593</v>
      </c>
      <c r="C13" s="1" t="n">
        <v>45648</v>
      </c>
      <c r="D13" t="inlineStr">
        <is>
          <t>SÖDERMANLANDS LÄN</t>
        </is>
      </c>
      <c r="E13" t="inlineStr">
        <is>
          <t>TROSA</t>
        </is>
      </c>
      <c r="G13" t="n">
        <v>20.7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Korallrot
Svavelriska</t>
        </is>
      </c>
      <c r="S13">
        <f>HYPERLINK("https://klasma.github.io/Logging_0488/artfynd/A 48791-2024 artfynd.xlsx", "A 48791-2024")</f>
        <v/>
      </c>
      <c r="T13">
        <f>HYPERLINK("https://klasma.github.io/Logging_0488/kartor/A 48791-2024 karta.png", "A 48791-2024")</f>
        <v/>
      </c>
      <c r="V13">
        <f>HYPERLINK("https://klasma.github.io/Logging_0488/klagomål/A 48791-2024 FSC-klagomål.docx", "A 48791-2024")</f>
        <v/>
      </c>
      <c r="W13">
        <f>HYPERLINK("https://klasma.github.io/Logging_0488/klagomålsmail/A 48791-2024 FSC-klagomål mail.docx", "A 48791-2024")</f>
        <v/>
      </c>
      <c r="X13">
        <f>HYPERLINK("https://klasma.github.io/Logging_0488/tillsyn/A 48791-2024 tillsynsbegäran.docx", "A 48791-2024")</f>
        <v/>
      </c>
      <c r="Y13">
        <f>HYPERLINK("https://klasma.github.io/Logging_0488/tillsynsmail/A 48791-2024 tillsynsbegäran mail.docx", "A 48791-2024")</f>
        <v/>
      </c>
    </row>
    <row r="14" ht="15" customHeight="1">
      <c r="A14" t="inlineStr">
        <is>
          <t>A 51610-2024</t>
        </is>
      </c>
      <c r="B14" s="1" t="n">
        <v>45603</v>
      </c>
      <c r="C14" s="1" t="n">
        <v>45648</v>
      </c>
      <c r="D14" t="inlineStr">
        <is>
          <t>SÖDERMANLANDS LÄN</t>
        </is>
      </c>
      <c r="E14" t="inlineStr">
        <is>
          <t>TROSA</t>
        </is>
      </c>
      <c r="G14" t="n">
        <v>4.5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Stenporella
Trädporella</t>
        </is>
      </c>
      <c r="S14">
        <f>HYPERLINK("https://klasma.github.io/Logging_0488/artfynd/A 51610-2024 artfynd.xlsx", "A 51610-2024")</f>
        <v/>
      </c>
      <c r="T14">
        <f>HYPERLINK("https://klasma.github.io/Logging_0488/kartor/A 51610-2024 karta.png", "A 51610-2024")</f>
        <v/>
      </c>
      <c r="V14">
        <f>HYPERLINK("https://klasma.github.io/Logging_0488/klagomål/A 51610-2024 FSC-klagomål.docx", "A 51610-2024")</f>
        <v/>
      </c>
      <c r="W14">
        <f>HYPERLINK("https://klasma.github.io/Logging_0488/klagomålsmail/A 51610-2024 FSC-klagomål mail.docx", "A 51610-2024")</f>
        <v/>
      </c>
      <c r="X14">
        <f>HYPERLINK("https://klasma.github.io/Logging_0488/tillsyn/A 51610-2024 tillsynsbegäran.docx", "A 51610-2024")</f>
        <v/>
      </c>
      <c r="Y14">
        <f>HYPERLINK("https://klasma.github.io/Logging_0488/tillsynsmail/A 51610-2024 tillsynsbegäran mail.docx", "A 51610-2024")</f>
        <v/>
      </c>
    </row>
    <row r="15" ht="15" customHeight="1">
      <c r="A15" t="inlineStr">
        <is>
          <t>A 51481-2024</t>
        </is>
      </c>
      <c r="B15" s="1" t="n">
        <v>45603</v>
      </c>
      <c r="C15" s="1" t="n">
        <v>45648</v>
      </c>
      <c r="D15" t="inlineStr">
        <is>
          <t>SÖDERMANLANDS LÄN</t>
        </is>
      </c>
      <c r="E15" t="inlineStr">
        <is>
          <t>TROSA</t>
        </is>
      </c>
      <c r="G15" t="n">
        <v>12.8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Talltita</t>
        </is>
      </c>
      <c r="S15">
        <f>HYPERLINK("https://klasma.github.io/Logging_0488/artfynd/A 51481-2024 artfynd.xlsx", "A 51481-2024")</f>
        <v/>
      </c>
      <c r="T15">
        <f>HYPERLINK("https://klasma.github.io/Logging_0488/kartor/A 51481-2024 karta.png", "A 51481-2024")</f>
        <v/>
      </c>
      <c r="V15">
        <f>HYPERLINK("https://klasma.github.io/Logging_0488/klagomål/A 51481-2024 FSC-klagomål.docx", "A 51481-2024")</f>
        <v/>
      </c>
      <c r="W15">
        <f>HYPERLINK("https://klasma.github.io/Logging_0488/klagomålsmail/A 51481-2024 FSC-klagomål mail.docx", "A 51481-2024")</f>
        <v/>
      </c>
      <c r="X15">
        <f>HYPERLINK("https://klasma.github.io/Logging_0488/tillsyn/A 51481-2024 tillsynsbegäran.docx", "A 51481-2024")</f>
        <v/>
      </c>
      <c r="Y15">
        <f>HYPERLINK("https://klasma.github.io/Logging_0488/tillsynsmail/A 51481-2024 tillsynsbegäran mail.docx", "A 51481-2024")</f>
        <v/>
      </c>
      <c r="Z15">
        <f>HYPERLINK("https://klasma.github.io/Logging_0488/fåglar/A 51481-2024 prioriterade fågelarter.docx", "A 51481-2024")</f>
        <v/>
      </c>
    </row>
    <row r="16" ht="15" customHeight="1">
      <c r="A16" t="inlineStr">
        <is>
          <t>A 65370-2019</t>
        </is>
      </c>
      <c r="B16" s="1" t="n">
        <v>43797</v>
      </c>
      <c r="C16" s="1" t="n">
        <v>45648</v>
      </c>
      <c r="D16" t="inlineStr">
        <is>
          <t>SÖDERMANLANDS LÄN</t>
        </is>
      </c>
      <c r="E16" t="inlineStr">
        <is>
          <t>TROSA</t>
        </is>
      </c>
      <c r="G16" t="n">
        <v>52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HYPERLINK("https://klasma.github.io/Logging_0488/artfynd/A 65370-2019 artfynd.xlsx", "A 65370-2019")</f>
        <v/>
      </c>
      <c r="T16">
        <f>HYPERLINK("https://klasma.github.io/Logging_0488/kartor/A 65370-2019 karta.png", "A 65370-2019")</f>
        <v/>
      </c>
      <c r="V16">
        <f>HYPERLINK("https://klasma.github.io/Logging_0488/klagomål/A 65370-2019 FSC-klagomål.docx", "A 65370-2019")</f>
        <v/>
      </c>
      <c r="W16">
        <f>HYPERLINK("https://klasma.github.io/Logging_0488/klagomålsmail/A 65370-2019 FSC-klagomål mail.docx", "A 65370-2019")</f>
        <v/>
      </c>
      <c r="X16">
        <f>HYPERLINK("https://klasma.github.io/Logging_0488/tillsyn/A 65370-2019 tillsynsbegäran.docx", "A 65370-2019")</f>
        <v/>
      </c>
      <c r="Y16">
        <f>HYPERLINK("https://klasma.github.io/Logging_0488/tillsynsmail/A 65370-2019 tillsynsbegäran mail.docx", "A 65370-2019")</f>
        <v/>
      </c>
      <c r="Z16">
        <f>HYPERLINK("https://klasma.github.io/Logging_0488/fåglar/A 65370-2019 prioriterade fågelarter.docx", "A 65370-2019")</f>
        <v/>
      </c>
    </row>
    <row r="17" ht="15" customHeight="1">
      <c r="A17" t="inlineStr">
        <is>
          <t>A 28149-2020</t>
        </is>
      </c>
      <c r="B17" s="1" t="n">
        <v>43997</v>
      </c>
      <c r="C17" s="1" t="n">
        <v>45648</v>
      </c>
      <c r="D17" t="inlineStr">
        <is>
          <t>SÖDERMANLANDS LÄN</t>
        </is>
      </c>
      <c r="E17" t="inlineStr">
        <is>
          <t>TROSA</t>
        </is>
      </c>
      <c r="G17" t="n">
        <v>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Trubbfjädermossa</t>
        </is>
      </c>
      <c r="S17">
        <f>HYPERLINK("https://klasma.github.io/Logging_0488/artfynd/A 28149-2020 artfynd.xlsx", "A 28149-2020")</f>
        <v/>
      </c>
      <c r="T17">
        <f>HYPERLINK("https://klasma.github.io/Logging_0488/kartor/A 28149-2020 karta.png", "A 28149-2020")</f>
        <v/>
      </c>
      <c r="V17">
        <f>HYPERLINK("https://klasma.github.io/Logging_0488/klagomål/A 28149-2020 FSC-klagomål.docx", "A 28149-2020")</f>
        <v/>
      </c>
      <c r="W17">
        <f>HYPERLINK("https://klasma.github.io/Logging_0488/klagomålsmail/A 28149-2020 FSC-klagomål mail.docx", "A 28149-2020")</f>
        <v/>
      </c>
      <c r="X17">
        <f>HYPERLINK("https://klasma.github.io/Logging_0488/tillsyn/A 28149-2020 tillsynsbegäran.docx", "A 28149-2020")</f>
        <v/>
      </c>
      <c r="Y17">
        <f>HYPERLINK("https://klasma.github.io/Logging_0488/tillsynsmail/A 28149-2020 tillsynsbegäran mail.docx", "A 28149-2020")</f>
        <v/>
      </c>
    </row>
    <row r="18" ht="15" customHeight="1">
      <c r="A18" t="inlineStr">
        <is>
          <t>A 35106-2020</t>
        </is>
      </c>
      <c r="B18" s="1" t="n">
        <v>44040</v>
      </c>
      <c r="C18" s="1" t="n">
        <v>45648</v>
      </c>
      <c r="D18" t="inlineStr">
        <is>
          <t>SÖDERMANLANDS LÄN</t>
        </is>
      </c>
      <c r="E18" t="inlineStr">
        <is>
          <t>TROSA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Stor bockrot</t>
        </is>
      </c>
      <c r="S18">
        <f>HYPERLINK("https://klasma.github.io/Logging_0488/artfynd/A 35106-2020 artfynd.xlsx", "A 35106-2020")</f>
        <v/>
      </c>
      <c r="T18">
        <f>HYPERLINK("https://klasma.github.io/Logging_0488/kartor/A 35106-2020 karta.png", "A 35106-2020")</f>
        <v/>
      </c>
      <c r="V18">
        <f>HYPERLINK("https://klasma.github.io/Logging_0488/klagomål/A 35106-2020 FSC-klagomål.docx", "A 35106-2020")</f>
        <v/>
      </c>
      <c r="W18">
        <f>HYPERLINK("https://klasma.github.io/Logging_0488/klagomålsmail/A 35106-2020 FSC-klagomål mail.docx", "A 35106-2020")</f>
        <v/>
      </c>
      <c r="X18">
        <f>HYPERLINK("https://klasma.github.io/Logging_0488/tillsyn/A 35106-2020 tillsynsbegäran.docx", "A 35106-2020")</f>
        <v/>
      </c>
      <c r="Y18">
        <f>HYPERLINK("https://klasma.github.io/Logging_0488/tillsynsmail/A 35106-2020 tillsynsbegäran mail.docx", "A 35106-2020")</f>
        <v/>
      </c>
    </row>
    <row r="19" ht="15" customHeight="1">
      <c r="A19" t="inlineStr">
        <is>
          <t>A 55760-2020</t>
        </is>
      </c>
      <c r="B19" s="1" t="n">
        <v>44132</v>
      </c>
      <c r="C19" s="1" t="n">
        <v>45648</v>
      </c>
      <c r="D19" t="inlineStr">
        <is>
          <t>SÖDERMANLANDS LÄN</t>
        </is>
      </c>
      <c r="E19" t="inlineStr">
        <is>
          <t>TROSA</t>
        </is>
      </c>
      <c r="F19" t="inlineStr">
        <is>
          <t>Kommuner</t>
        </is>
      </c>
      <c r="G19" t="n">
        <v>9.6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Strutbräken</t>
        </is>
      </c>
      <c r="S19">
        <f>HYPERLINK("https://klasma.github.io/Logging_0488/artfynd/A 55760-2020 artfynd.xlsx", "A 55760-2020")</f>
        <v/>
      </c>
      <c r="T19">
        <f>HYPERLINK("https://klasma.github.io/Logging_0488/kartor/A 55760-2020 karta.png", "A 55760-2020")</f>
        <v/>
      </c>
      <c r="V19">
        <f>HYPERLINK("https://klasma.github.io/Logging_0488/klagomål/A 55760-2020 FSC-klagomål.docx", "A 55760-2020")</f>
        <v/>
      </c>
      <c r="W19">
        <f>HYPERLINK("https://klasma.github.io/Logging_0488/klagomålsmail/A 55760-2020 FSC-klagomål mail.docx", "A 55760-2020")</f>
        <v/>
      </c>
      <c r="X19">
        <f>HYPERLINK("https://klasma.github.io/Logging_0488/tillsyn/A 55760-2020 tillsynsbegäran.docx", "A 55760-2020")</f>
        <v/>
      </c>
      <c r="Y19">
        <f>HYPERLINK("https://klasma.github.io/Logging_0488/tillsynsmail/A 55760-2020 tillsynsbegäran mail.docx", "A 55760-2020")</f>
        <v/>
      </c>
    </row>
    <row r="20" ht="15" customHeight="1">
      <c r="A20" t="inlineStr">
        <is>
          <t>A 7138-2021</t>
        </is>
      </c>
      <c r="B20" s="1" t="n">
        <v>44238</v>
      </c>
      <c r="C20" s="1" t="n">
        <v>45648</v>
      </c>
      <c r="D20" t="inlineStr">
        <is>
          <t>SÖDERMANLANDS LÄN</t>
        </is>
      </c>
      <c r="E20" t="inlineStr">
        <is>
          <t>TROSA</t>
        </is>
      </c>
      <c r="G20" t="n">
        <v>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Solvända</t>
        </is>
      </c>
      <c r="S20">
        <f>HYPERLINK("https://klasma.github.io/Logging_0488/artfynd/A 7138-2021 artfynd.xlsx", "A 7138-2021")</f>
        <v/>
      </c>
      <c r="T20">
        <f>HYPERLINK("https://klasma.github.io/Logging_0488/kartor/A 7138-2021 karta.png", "A 7138-2021")</f>
        <v/>
      </c>
      <c r="V20">
        <f>HYPERLINK("https://klasma.github.io/Logging_0488/klagomål/A 7138-2021 FSC-klagomål.docx", "A 7138-2021")</f>
        <v/>
      </c>
      <c r="W20">
        <f>HYPERLINK("https://klasma.github.io/Logging_0488/klagomålsmail/A 7138-2021 FSC-klagomål mail.docx", "A 7138-2021")</f>
        <v/>
      </c>
      <c r="X20">
        <f>HYPERLINK("https://klasma.github.io/Logging_0488/tillsyn/A 7138-2021 tillsynsbegäran.docx", "A 7138-2021")</f>
        <v/>
      </c>
      <c r="Y20">
        <f>HYPERLINK("https://klasma.github.io/Logging_0488/tillsynsmail/A 7138-2021 tillsynsbegäran mail.docx", "A 7138-2021")</f>
        <v/>
      </c>
    </row>
    <row r="21" ht="15" customHeight="1">
      <c r="A21" t="inlineStr">
        <is>
          <t>A 37836-2021</t>
        </is>
      </c>
      <c r="B21" s="1" t="n">
        <v>44403</v>
      </c>
      <c r="C21" s="1" t="n">
        <v>45648</v>
      </c>
      <c r="D21" t="inlineStr">
        <is>
          <t>SÖDERMANLANDS LÄN</t>
        </is>
      </c>
      <c r="E21" t="inlineStr">
        <is>
          <t>TROSA</t>
        </is>
      </c>
      <c r="F21" t="inlineStr">
        <is>
          <t>Övriga statliga verk och myndigheter</t>
        </is>
      </c>
      <c r="G21" t="n">
        <v>1.9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HYPERLINK("https://klasma.github.io/Logging_0488/artfynd/A 37836-2021 artfynd.xlsx", "A 37836-2021")</f>
        <v/>
      </c>
      <c r="T21">
        <f>HYPERLINK("https://klasma.github.io/Logging_0488/kartor/A 37836-2021 karta.png", "A 37836-2021")</f>
        <v/>
      </c>
      <c r="U21">
        <f>HYPERLINK("https://klasma.github.io/Logging_0488/knärot/A 37836-2021 karta knärot.png", "A 37836-2021")</f>
        <v/>
      </c>
      <c r="V21">
        <f>HYPERLINK("https://klasma.github.io/Logging_0488/klagomål/A 37836-2021 FSC-klagomål.docx", "A 37836-2021")</f>
        <v/>
      </c>
      <c r="W21">
        <f>HYPERLINK("https://klasma.github.io/Logging_0488/klagomålsmail/A 37836-2021 FSC-klagomål mail.docx", "A 37836-2021")</f>
        <v/>
      </c>
      <c r="X21">
        <f>HYPERLINK("https://klasma.github.io/Logging_0488/tillsyn/A 37836-2021 tillsynsbegäran.docx", "A 37836-2021")</f>
        <v/>
      </c>
      <c r="Y21">
        <f>HYPERLINK("https://klasma.github.io/Logging_0488/tillsynsmail/A 37836-2021 tillsynsbegäran mail.docx", "A 37836-2021")</f>
        <v/>
      </c>
    </row>
    <row r="22" ht="15" customHeight="1">
      <c r="A22" t="inlineStr">
        <is>
          <t>A 63029-2021</t>
        </is>
      </c>
      <c r="B22" s="1" t="n">
        <v>44505</v>
      </c>
      <c r="C22" s="1" t="n">
        <v>45648</v>
      </c>
      <c r="D22" t="inlineStr">
        <is>
          <t>SÖDERMANLANDS LÄN</t>
        </is>
      </c>
      <c r="E22" t="inlineStr">
        <is>
          <t>TROSA</t>
        </is>
      </c>
      <c r="F22" t="inlineStr">
        <is>
          <t>Holmen skog AB</t>
        </is>
      </c>
      <c r="G22" t="n">
        <v>1.4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Bredbrämad bastardsvärmare</t>
        </is>
      </c>
      <c r="S22">
        <f>HYPERLINK("https://klasma.github.io/Logging_0488/artfynd/A 63029-2021 artfynd.xlsx", "A 63029-2021")</f>
        <v/>
      </c>
      <c r="T22">
        <f>HYPERLINK("https://klasma.github.io/Logging_0488/kartor/A 63029-2021 karta.png", "A 63029-2021")</f>
        <v/>
      </c>
      <c r="V22">
        <f>HYPERLINK("https://klasma.github.io/Logging_0488/klagomål/A 63029-2021 FSC-klagomål.docx", "A 63029-2021")</f>
        <v/>
      </c>
      <c r="W22">
        <f>HYPERLINK("https://klasma.github.io/Logging_0488/klagomålsmail/A 63029-2021 FSC-klagomål mail.docx", "A 63029-2021")</f>
        <v/>
      </c>
      <c r="X22">
        <f>HYPERLINK("https://klasma.github.io/Logging_0488/tillsyn/A 63029-2021 tillsynsbegäran.docx", "A 63029-2021")</f>
        <v/>
      </c>
      <c r="Y22">
        <f>HYPERLINK("https://klasma.github.io/Logging_0488/tillsynsmail/A 63029-2021 tillsynsbegäran mail.docx", "A 63029-2021")</f>
        <v/>
      </c>
    </row>
    <row r="23" ht="15" customHeight="1">
      <c r="A23" t="inlineStr">
        <is>
          <t>A 11123-2023</t>
        </is>
      </c>
      <c r="B23" s="1" t="n">
        <v>44986</v>
      </c>
      <c r="C23" s="1" t="n">
        <v>45648</v>
      </c>
      <c r="D23" t="inlineStr">
        <is>
          <t>SÖDERMANLANDS LÄN</t>
        </is>
      </c>
      <c r="E23" t="inlineStr">
        <is>
          <t>TROSA</t>
        </is>
      </c>
      <c r="F23" t="inlineStr">
        <is>
          <t>Övriga statliga verk och myndigheter</t>
        </is>
      </c>
      <c r="G23" t="n">
        <v>9.4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HYPERLINK("https://klasma.github.io/Logging_0488/artfynd/A 11123-2023 artfynd.xlsx", "A 11123-2023")</f>
        <v/>
      </c>
      <c r="T23">
        <f>HYPERLINK("https://klasma.github.io/Logging_0488/kartor/A 11123-2023 karta.png", "A 11123-2023")</f>
        <v/>
      </c>
      <c r="V23">
        <f>HYPERLINK("https://klasma.github.io/Logging_0488/klagomål/A 11123-2023 FSC-klagomål.docx", "A 11123-2023")</f>
        <v/>
      </c>
      <c r="W23">
        <f>HYPERLINK("https://klasma.github.io/Logging_0488/klagomålsmail/A 11123-2023 FSC-klagomål mail.docx", "A 11123-2023")</f>
        <v/>
      </c>
      <c r="X23">
        <f>HYPERLINK("https://klasma.github.io/Logging_0488/tillsyn/A 11123-2023 tillsynsbegäran.docx", "A 11123-2023")</f>
        <v/>
      </c>
      <c r="Y23">
        <f>HYPERLINK("https://klasma.github.io/Logging_0488/tillsynsmail/A 11123-2023 tillsynsbegäran mail.docx", "A 11123-2023")</f>
        <v/>
      </c>
      <c r="Z23">
        <f>HYPERLINK("https://klasma.github.io/Logging_0488/fåglar/A 11123-2023 prioriterade fågelarter.docx", "A 11123-2023")</f>
        <v/>
      </c>
    </row>
    <row r="24" ht="15" customHeight="1">
      <c r="A24" t="inlineStr">
        <is>
          <t>A 51644-2024</t>
        </is>
      </c>
      <c r="B24" s="1" t="n">
        <v>45603</v>
      </c>
      <c r="C24" s="1" t="n">
        <v>45648</v>
      </c>
      <c r="D24" t="inlineStr">
        <is>
          <t>SÖDERMANLANDS LÄN</t>
        </is>
      </c>
      <c r="E24" t="inlineStr">
        <is>
          <t>TROSA</t>
        </is>
      </c>
      <c r="G24" t="n">
        <v>15.2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Gröngöling</t>
        </is>
      </c>
      <c r="S24">
        <f>HYPERLINK("https://klasma.github.io/Logging_0488/artfynd/A 51644-2024 artfynd.xlsx", "A 51644-2024")</f>
        <v/>
      </c>
      <c r="T24">
        <f>HYPERLINK("https://klasma.github.io/Logging_0488/kartor/A 51644-2024 karta.png", "A 51644-2024")</f>
        <v/>
      </c>
      <c r="V24">
        <f>HYPERLINK("https://klasma.github.io/Logging_0488/klagomål/A 51644-2024 FSC-klagomål.docx", "A 51644-2024")</f>
        <v/>
      </c>
      <c r="W24">
        <f>HYPERLINK("https://klasma.github.io/Logging_0488/klagomålsmail/A 51644-2024 FSC-klagomål mail.docx", "A 51644-2024")</f>
        <v/>
      </c>
      <c r="X24">
        <f>HYPERLINK("https://klasma.github.io/Logging_0488/tillsyn/A 51644-2024 tillsynsbegäran.docx", "A 51644-2024")</f>
        <v/>
      </c>
      <c r="Y24">
        <f>HYPERLINK("https://klasma.github.io/Logging_0488/tillsynsmail/A 51644-2024 tillsynsbegäran mail.docx", "A 51644-2024")</f>
        <v/>
      </c>
      <c r="Z24">
        <f>HYPERLINK("https://klasma.github.io/Logging_0488/fåglar/A 51644-2024 prioriterade fågelarter.docx", "A 51644-2024")</f>
        <v/>
      </c>
    </row>
    <row r="25" ht="15" customHeight="1">
      <c r="A25" t="inlineStr">
        <is>
          <t>A 51551-2024</t>
        </is>
      </c>
      <c r="B25" s="1" t="n">
        <v>45603</v>
      </c>
      <c r="C25" s="1" t="n">
        <v>45648</v>
      </c>
      <c r="D25" t="inlineStr">
        <is>
          <t>SÖDERMANLANDS LÄN</t>
        </is>
      </c>
      <c r="E25" t="inlineStr">
        <is>
          <t>TROSA</t>
        </is>
      </c>
      <c r="G25" t="n">
        <v>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HYPERLINK("https://klasma.github.io/Logging_0488/artfynd/A 51551-2024 artfynd.xlsx", "A 51551-2024")</f>
        <v/>
      </c>
      <c r="T25">
        <f>HYPERLINK("https://klasma.github.io/Logging_0488/kartor/A 51551-2024 karta.png", "A 51551-2024")</f>
        <v/>
      </c>
      <c r="V25">
        <f>HYPERLINK("https://klasma.github.io/Logging_0488/klagomål/A 51551-2024 FSC-klagomål.docx", "A 51551-2024")</f>
        <v/>
      </c>
      <c r="W25">
        <f>HYPERLINK("https://klasma.github.io/Logging_0488/klagomålsmail/A 51551-2024 FSC-klagomål mail.docx", "A 51551-2024")</f>
        <v/>
      </c>
      <c r="X25">
        <f>HYPERLINK("https://klasma.github.io/Logging_0488/tillsyn/A 51551-2024 tillsynsbegäran.docx", "A 51551-2024")</f>
        <v/>
      </c>
      <c r="Y25">
        <f>HYPERLINK("https://klasma.github.io/Logging_0488/tillsynsmail/A 51551-2024 tillsynsbegäran mail.docx", "A 51551-2024")</f>
        <v/>
      </c>
    </row>
    <row r="26" ht="15" customHeight="1">
      <c r="A26" t="inlineStr">
        <is>
          <t>A 53869-2024</t>
        </is>
      </c>
      <c r="B26" s="1" t="n">
        <v>45614</v>
      </c>
      <c r="C26" s="1" t="n">
        <v>45648</v>
      </c>
      <c r="D26" t="inlineStr">
        <is>
          <t>SÖDERMANLANDS LÄN</t>
        </is>
      </c>
      <c r="E26" t="inlineStr">
        <is>
          <t>TROSA</t>
        </is>
      </c>
      <c r="F26" t="inlineStr">
        <is>
          <t>Övriga statliga verk och myndigheter</t>
        </is>
      </c>
      <c r="G26" t="n">
        <v>20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Kungsfågel</t>
        </is>
      </c>
      <c r="S26">
        <f>HYPERLINK("https://klasma.github.io/Logging_0488/artfynd/A 53869-2024 artfynd.xlsx", "A 53869-2024")</f>
        <v/>
      </c>
      <c r="T26">
        <f>HYPERLINK("https://klasma.github.io/Logging_0488/kartor/A 53869-2024 karta.png", "A 53869-2024")</f>
        <v/>
      </c>
      <c r="V26">
        <f>HYPERLINK("https://klasma.github.io/Logging_0488/klagomål/A 53869-2024 FSC-klagomål.docx", "A 53869-2024")</f>
        <v/>
      </c>
      <c r="W26">
        <f>HYPERLINK("https://klasma.github.io/Logging_0488/klagomålsmail/A 53869-2024 FSC-klagomål mail.docx", "A 53869-2024")</f>
        <v/>
      </c>
      <c r="X26">
        <f>HYPERLINK("https://klasma.github.io/Logging_0488/tillsyn/A 53869-2024 tillsynsbegäran.docx", "A 53869-2024")</f>
        <v/>
      </c>
      <c r="Y26">
        <f>HYPERLINK("https://klasma.github.io/Logging_0488/tillsynsmail/A 53869-2024 tillsynsbegäran mail.docx", "A 53869-2024")</f>
        <v/>
      </c>
      <c r="Z26">
        <f>HYPERLINK("https://klasma.github.io/Logging_0488/fåglar/A 53869-2024 prioriterade fågelarter.docx", "A 53869-2024")</f>
        <v/>
      </c>
    </row>
    <row r="27" ht="15" customHeight="1">
      <c r="A27" t="inlineStr">
        <is>
          <t>A 32189-2019</t>
        </is>
      </c>
      <c r="B27" s="1" t="n">
        <v>43643</v>
      </c>
      <c r="C27" s="1" t="n">
        <v>45648</v>
      </c>
      <c r="D27" t="inlineStr">
        <is>
          <t>SÖDERMANLANDS LÄN</t>
        </is>
      </c>
      <c r="E27" t="inlineStr">
        <is>
          <t>TROSA</t>
        </is>
      </c>
      <c r="G27" t="n">
        <v>17.1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33397-2019</t>
        </is>
      </c>
      <c r="B28" s="1" t="n">
        <v>43650</v>
      </c>
      <c r="C28" s="1" t="n">
        <v>45648</v>
      </c>
      <c r="D28" t="inlineStr">
        <is>
          <t>SÖDERMANLANDS LÄN</t>
        </is>
      </c>
      <c r="E28" t="inlineStr">
        <is>
          <t>TROSA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38288-2019</t>
        </is>
      </c>
      <c r="B29" s="1" t="n">
        <v>43684</v>
      </c>
      <c r="C29" s="1" t="n">
        <v>45648</v>
      </c>
      <c r="D29" t="inlineStr">
        <is>
          <t>SÖDERMANLANDS LÄN</t>
        </is>
      </c>
      <c r="E29" t="inlineStr">
        <is>
          <t>TROSA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41877-2019</t>
        </is>
      </c>
      <c r="B30" s="1" t="n">
        <v>43700</v>
      </c>
      <c r="C30" s="1" t="n">
        <v>45648</v>
      </c>
      <c r="D30" t="inlineStr">
        <is>
          <t>SÖDERMANLANDS LÄN</t>
        </is>
      </c>
      <c r="E30" t="inlineStr">
        <is>
          <t>TROSA</t>
        </is>
      </c>
      <c r="F30" t="inlineStr">
        <is>
          <t>Övriga Aktiebolag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41893-2019</t>
        </is>
      </c>
      <c r="B31" s="1" t="n">
        <v>43700</v>
      </c>
      <c r="C31" s="1" t="n">
        <v>45648</v>
      </c>
      <c r="D31" t="inlineStr">
        <is>
          <t>SÖDERMANLANDS LÄN</t>
        </is>
      </c>
      <c r="E31" t="inlineStr">
        <is>
          <t>TROSA</t>
        </is>
      </c>
      <c r="F31" t="inlineStr">
        <is>
          <t>Övriga Aktiebolag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41830-2019</t>
        </is>
      </c>
      <c r="B32" s="1" t="n">
        <v>43700</v>
      </c>
      <c r="C32" s="1" t="n">
        <v>45648</v>
      </c>
      <c r="D32" t="inlineStr">
        <is>
          <t>SÖDERMANLANDS LÄN</t>
        </is>
      </c>
      <c r="E32" t="inlineStr">
        <is>
          <t>TROSA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41869-2019</t>
        </is>
      </c>
      <c r="B33" s="1" t="n">
        <v>43700</v>
      </c>
      <c r="C33" s="1" t="n">
        <v>45648</v>
      </c>
      <c r="D33" t="inlineStr">
        <is>
          <t>SÖDERMANLANDS LÄN</t>
        </is>
      </c>
      <c r="E33" t="inlineStr">
        <is>
          <t>TROSA</t>
        </is>
      </c>
      <c r="F33" t="inlineStr">
        <is>
          <t>Övriga Aktiebolag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41902-2019</t>
        </is>
      </c>
      <c r="B34" s="1" t="n">
        <v>43700</v>
      </c>
      <c r="C34" s="1" t="n">
        <v>45648</v>
      </c>
      <c r="D34" t="inlineStr">
        <is>
          <t>SÖDERMANLANDS LÄN</t>
        </is>
      </c>
      <c r="E34" t="inlineStr">
        <is>
          <t>TROSA</t>
        </is>
      </c>
      <c r="F34" t="inlineStr">
        <is>
          <t>Övriga Aktiebolag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42516-2019</t>
        </is>
      </c>
      <c r="B35" s="1" t="n">
        <v>43704</v>
      </c>
      <c r="C35" s="1" t="n">
        <v>45648</v>
      </c>
      <c r="D35" t="inlineStr">
        <is>
          <t>SÖDERMANLANDS LÄN</t>
        </is>
      </c>
      <c r="E35" t="inlineStr">
        <is>
          <t>TROSA</t>
        </is>
      </c>
      <c r="F35" t="inlineStr">
        <is>
          <t>Övriga Aktiebolag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49515-2019</t>
        </is>
      </c>
      <c r="B36" s="1" t="n">
        <v>43732</v>
      </c>
      <c r="C36" s="1" t="n">
        <v>45648</v>
      </c>
      <c r="D36" t="inlineStr">
        <is>
          <t>SÖDERMANLANDS LÄN</t>
        </is>
      </c>
      <c r="E36" t="inlineStr">
        <is>
          <t>TROSA</t>
        </is>
      </c>
      <c r="F36" t="inlineStr">
        <is>
          <t>Holmen skog AB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52465-2019</t>
        </is>
      </c>
      <c r="B37" s="1" t="n">
        <v>43745</v>
      </c>
      <c r="C37" s="1" t="n">
        <v>45648</v>
      </c>
      <c r="D37" t="inlineStr">
        <is>
          <t>SÖDERMANLANDS LÄN</t>
        </is>
      </c>
      <c r="E37" t="inlineStr">
        <is>
          <t>TROSA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63732-2019</t>
        </is>
      </c>
      <c r="B38" s="1" t="n">
        <v>43790</v>
      </c>
      <c r="C38" s="1" t="n">
        <v>45648</v>
      </c>
      <c r="D38" t="inlineStr">
        <is>
          <t>SÖDERMANLANDS LÄN</t>
        </is>
      </c>
      <c r="E38" t="inlineStr">
        <is>
          <t>TROSA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63343-2019</t>
        </is>
      </c>
      <c r="B39" s="1" t="n">
        <v>43794</v>
      </c>
      <c r="C39" s="1" t="n">
        <v>45648</v>
      </c>
      <c r="D39" t="inlineStr">
        <is>
          <t>SÖDERMANLANDS LÄN</t>
        </is>
      </c>
      <c r="E39" t="inlineStr">
        <is>
          <t>TROSA</t>
        </is>
      </c>
      <c r="F39" t="inlineStr">
        <is>
          <t>Holmen skog AB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66647-2019</t>
        </is>
      </c>
      <c r="B40" s="1" t="n">
        <v>43809</v>
      </c>
      <c r="C40" s="1" t="n">
        <v>45648</v>
      </c>
      <c r="D40" t="inlineStr">
        <is>
          <t>SÖDERMANLANDS LÄN</t>
        </is>
      </c>
      <c r="E40" t="inlineStr">
        <is>
          <t>TROSA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4869-2020</t>
        </is>
      </c>
      <c r="B41" s="1" t="n">
        <v>43859</v>
      </c>
      <c r="C41" s="1" t="n">
        <v>45648</v>
      </c>
      <c r="D41" t="inlineStr">
        <is>
          <t>SÖDERMANLANDS LÄN</t>
        </is>
      </c>
      <c r="E41" t="inlineStr">
        <is>
          <t>TROSA</t>
        </is>
      </c>
      <c r="F41" t="inlineStr">
        <is>
          <t>Holmen skog AB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4848-2020</t>
        </is>
      </c>
      <c r="B42" s="1" t="n">
        <v>43859</v>
      </c>
      <c r="C42" s="1" t="n">
        <v>45648</v>
      </c>
      <c r="D42" t="inlineStr">
        <is>
          <t>SÖDERMANLANDS LÄN</t>
        </is>
      </c>
      <c r="E42" t="inlineStr">
        <is>
          <t>TROSA</t>
        </is>
      </c>
      <c r="F42" t="inlineStr">
        <is>
          <t>Holmen skog AB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5803-2020</t>
        </is>
      </c>
      <c r="B43" s="1" t="n">
        <v>43864</v>
      </c>
      <c r="C43" s="1" t="n">
        <v>45648</v>
      </c>
      <c r="D43" t="inlineStr">
        <is>
          <t>SÖDERMANLANDS LÄN</t>
        </is>
      </c>
      <c r="E43" t="inlineStr">
        <is>
          <t>TROSA</t>
        </is>
      </c>
      <c r="F43" t="inlineStr">
        <is>
          <t>Holmen skog AB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6049-2020</t>
        </is>
      </c>
      <c r="B44" s="1" t="n">
        <v>43865</v>
      </c>
      <c r="C44" s="1" t="n">
        <v>45648</v>
      </c>
      <c r="D44" t="inlineStr">
        <is>
          <t>SÖDERMANLANDS LÄN</t>
        </is>
      </c>
      <c r="E44" t="inlineStr">
        <is>
          <t>TROSA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10374-2020</t>
        </is>
      </c>
      <c r="B45" s="1" t="n">
        <v>43885</v>
      </c>
      <c r="C45" s="1" t="n">
        <v>45648</v>
      </c>
      <c r="D45" t="inlineStr">
        <is>
          <t>SÖDERMANLANDS LÄN</t>
        </is>
      </c>
      <c r="E45" t="inlineStr">
        <is>
          <t>TROSA</t>
        </is>
      </c>
      <c r="G45" t="n">
        <v>9.300000000000001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11189-2020</t>
        </is>
      </c>
      <c r="B46" s="1" t="n">
        <v>43892</v>
      </c>
      <c r="C46" s="1" t="n">
        <v>45648</v>
      </c>
      <c r="D46" t="inlineStr">
        <is>
          <t>SÖDERMANLANDS LÄN</t>
        </is>
      </c>
      <c r="E46" t="inlineStr">
        <is>
          <t>TROSA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12369-2020</t>
        </is>
      </c>
      <c r="B47" s="1" t="n">
        <v>43896</v>
      </c>
      <c r="C47" s="1" t="n">
        <v>45648</v>
      </c>
      <c r="D47" t="inlineStr">
        <is>
          <t>SÖDERMANLANDS LÄN</t>
        </is>
      </c>
      <c r="E47" t="inlineStr">
        <is>
          <t>TROSA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21395-2020</t>
        </is>
      </c>
      <c r="B48" s="1" t="n">
        <v>43955</v>
      </c>
      <c r="C48" s="1" t="n">
        <v>45648</v>
      </c>
      <c r="D48" t="inlineStr">
        <is>
          <t>SÖDERMANLANDS LÄN</t>
        </is>
      </c>
      <c r="E48" t="inlineStr">
        <is>
          <t>TROSA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21400-2020</t>
        </is>
      </c>
      <c r="B49" s="1" t="n">
        <v>43955</v>
      </c>
      <c r="C49" s="1" t="n">
        <v>45648</v>
      </c>
      <c r="D49" t="inlineStr">
        <is>
          <t>SÖDERMANLANDS LÄN</t>
        </is>
      </c>
      <c r="E49" t="inlineStr">
        <is>
          <t>TROSA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22932-2020</t>
        </is>
      </c>
      <c r="B50" s="1" t="n">
        <v>43963</v>
      </c>
      <c r="C50" s="1" t="n">
        <v>45648</v>
      </c>
      <c r="D50" t="inlineStr">
        <is>
          <t>SÖDERMANLANDS LÄN</t>
        </is>
      </c>
      <c r="E50" t="inlineStr">
        <is>
          <t>TROSA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28137-2020</t>
        </is>
      </c>
      <c r="B51" s="1" t="n">
        <v>43997</v>
      </c>
      <c r="C51" s="1" t="n">
        <v>45648</v>
      </c>
      <c r="D51" t="inlineStr">
        <is>
          <t>SÖDERMANLANDS LÄN</t>
        </is>
      </c>
      <c r="E51" t="inlineStr">
        <is>
          <t>TROSA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28141-2020</t>
        </is>
      </c>
      <c r="B52" s="1" t="n">
        <v>43997</v>
      </c>
      <c r="C52" s="1" t="n">
        <v>45648</v>
      </c>
      <c r="D52" t="inlineStr">
        <is>
          <t>SÖDERMANLANDS LÄN</t>
        </is>
      </c>
      <c r="E52" t="inlineStr">
        <is>
          <t>TROSA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29410-2020</t>
        </is>
      </c>
      <c r="B53" s="1" t="n">
        <v>44004</v>
      </c>
      <c r="C53" s="1" t="n">
        <v>45648</v>
      </c>
      <c r="D53" t="inlineStr">
        <is>
          <t>SÖDERMANLANDS LÄN</t>
        </is>
      </c>
      <c r="E53" t="inlineStr">
        <is>
          <t>TROSA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38877-2020</t>
        </is>
      </c>
      <c r="B54" s="1" t="n">
        <v>44062</v>
      </c>
      <c r="C54" s="1" t="n">
        <v>45648</v>
      </c>
      <c r="D54" t="inlineStr">
        <is>
          <t>SÖDERMANLANDS LÄN</t>
        </is>
      </c>
      <c r="E54" t="inlineStr">
        <is>
          <t>TROSA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39963-2020</t>
        </is>
      </c>
      <c r="B55" s="1" t="n">
        <v>44067</v>
      </c>
      <c r="C55" s="1" t="n">
        <v>45648</v>
      </c>
      <c r="D55" t="inlineStr">
        <is>
          <t>SÖDERMANLANDS LÄN</t>
        </is>
      </c>
      <c r="E55" t="inlineStr">
        <is>
          <t>TROSA</t>
        </is>
      </c>
      <c r="F55" t="inlineStr">
        <is>
          <t>Kommuner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40498-2020</t>
        </is>
      </c>
      <c r="B56" s="1" t="n">
        <v>44069</v>
      </c>
      <c r="C56" s="1" t="n">
        <v>45648</v>
      </c>
      <c r="D56" t="inlineStr">
        <is>
          <t>SÖDERMANLANDS LÄN</t>
        </is>
      </c>
      <c r="E56" t="inlineStr">
        <is>
          <t>TROSA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45043-2020</t>
        </is>
      </c>
      <c r="B57" s="1" t="n">
        <v>44088</v>
      </c>
      <c r="C57" s="1" t="n">
        <v>45648</v>
      </c>
      <c r="D57" t="inlineStr">
        <is>
          <t>SÖDERMANLANDS LÄN</t>
        </is>
      </c>
      <c r="E57" t="inlineStr">
        <is>
          <t>TROSA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45107-2020</t>
        </is>
      </c>
      <c r="B58" s="1" t="n">
        <v>44088</v>
      </c>
      <c r="C58" s="1" t="n">
        <v>45648</v>
      </c>
      <c r="D58" t="inlineStr">
        <is>
          <t>SÖDERMANLANDS LÄN</t>
        </is>
      </c>
      <c r="E58" t="inlineStr">
        <is>
          <t>TROSA</t>
        </is>
      </c>
      <c r="G58" t="n">
        <v>7.1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45161-2020</t>
        </is>
      </c>
      <c r="B59" s="1" t="n">
        <v>44088</v>
      </c>
      <c r="C59" s="1" t="n">
        <v>45648</v>
      </c>
      <c r="D59" t="inlineStr">
        <is>
          <t>SÖDERMANLANDS LÄN</t>
        </is>
      </c>
      <c r="E59" t="inlineStr">
        <is>
          <t>TROSA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45016-2020</t>
        </is>
      </c>
      <c r="B60" s="1" t="n">
        <v>44088</v>
      </c>
      <c r="C60" s="1" t="n">
        <v>45648</v>
      </c>
      <c r="D60" t="inlineStr">
        <is>
          <t>SÖDERMANLANDS LÄN</t>
        </is>
      </c>
      <c r="E60" t="inlineStr">
        <is>
          <t>TROSA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45071-2020</t>
        </is>
      </c>
      <c r="B61" s="1" t="n">
        <v>44088</v>
      </c>
      <c r="C61" s="1" t="n">
        <v>45648</v>
      </c>
      <c r="D61" t="inlineStr">
        <is>
          <t>SÖDERMANLANDS LÄN</t>
        </is>
      </c>
      <c r="E61" t="inlineStr">
        <is>
          <t>TROSA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45089-2020</t>
        </is>
      </c>
      <c r="B62" s="1" t="n">
        <v>44088</v>
      </c>
      <c r="C62" s="1" t="n">
        <v>45648</v>
      </c>
      <c r="D62" t="inlineStr">
        <is>
          <t>SÖDERMANLANDS LÄN</t>
        </is>
      </c>
      <c r="E62" t="inlineStr">
        <is>
          <t>TROSA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45132-2020</t>
        </is>
      </c>
      <c r="B63" s="1" t="n">
        <v>44088</v>
      </c>
      <c r="C63" s="1" t="n">
        <v>45648</v>
      </c>
      <c r="D63" t="inlineStr">
        <is>
          <t>SÖDERMANLANDS LÄN</t>
        </is>
      </c>
      <c r="E63" t="inlineStr">
        <is>
          <t>TROSA</t>
        </is>
      </c>
      <c r="G63" t="n">
        <v>13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45169-2020</t>
        </is>
      </c>
      <c r="B64" s="1" t="n">
        <v>44088</v>
      </c>
      <c r="C64" s="1" t="n">
        <v>45648</v>
      </c>
      <c r="D64" t="inlineStr">
        <is>
          <t>SÖDERMANLANDS LÄN</t>
        </is>
      </c>
      <c r="E64" t="inlineStr">
        <is>
          <t>TROSA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45280-2020</t>
        </is>
      </c>
      <c r="B65" s="1" t="n">
        <v>44088</v>
      </c>
      <c r="C65" s="1" t="n">
        <v>45648</v>
      </c>
      <c r="D65" t="inlineStr">
        <is>
          <t>SÖDERMANLANDS LÄN</t>
        </is>
      </c>
      <c r="E65" t="inlineStr">
        <is>
          <t>TROSA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47228-2020</t>
        </is>
      </c>
      <c r="B66" s="1" t="n">
        <v>44097</v>
      </c>
      <c r="C66" s="1" t="n">
        <v>45648</v>
      </c>
      <c r="D66" t="inlineStr">
        <is>
          <t>SÖDERMANLANDS LÄN</t>
        </is>
      </c>
      <c r="E66" t="inlineStr">
        <is>
          <t>TROSA</t>
        </is>
      </c>
      <c r="F66" t="inlineStr">
        <is>
          <t>Övriga Aktiebolag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47249-2020</t>
        </is>
      </c>
      <c r="B67" s="1" t="n">
        <v>44097</v>
      </c>
      <c r="C67" s="1" t="n">
        <v>45648</v>
      </c>
      <c r="D67" t="inlineStr">
        <is>
          <t>SÖDERMANLANDS LÄN</t>
        </is>
      </c>
      <c r="E67" t="inlineStr">
        <is>
          <t>TROSA</t>
        </is>
      </c>
      <c r="F67" t="inlineStr">
        <is>
          <t>Övriga Aktiebolag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48254-2020</t>
        </is>
      </c>
      <c r="B68" s="1" t="n">
        <v>44102</v>
      </c>
      <c r="C68" s="1" t="n">
        <v>45648</v>
      </c>
      <c r="D68" t="inlineStr">
        <is>
          <t>SÖDERMANLANDS LÄN</t>
        </is>
      </c>
      <c r="E68" t="inlineStr">
        <is>
          <t>TROSA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48225-2020</t>
        </is>
      </c>
      <c r="B69" s="1" t="n">
        <v>44102</v>
      </c>
      <c r="C69" s="1" t="n">
        <v>45648</v>
      </c>
      <c r="D69" t="inlineStr">
        <is>
          <t>SÖDERMANLANDS LÄN</t>
        </is>
      </c>
      <c r="E69" t="inlineStr">
        <is>
          <t>TROSA</t>
        </is>
      </c>
      <c r="G69" t="n">
        <v>13.1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48247-2020</t>
        </is>
      </c>
      <c r="B70" s="1" t="n">
        <v>44102</v>
      </c>
      <c r="C70" s="1" t="n">
        <v>45648</v>
      </c>
      <c r="D70" t="inlineStr">
        <is>
          <t>SÖDERMANLANDS LÄN</t>
        </is>
      </c>
      <c r="E70" t="inlineStr">
        <is>
          <t>TROSA</t>
        </is>
      </c>
      <c r="G70" t="n">
        <v>10.5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48279-2020</t>
        </is>
      </c>
      <c r="B71" s="1" t="n">
        <v>44102</v>
      </c>
      <c r="C71" s="1" t="n">
        <v>45648</v>
      </c>
      <c r="D71" t="inlineStr">
        <is>
          <t>SÖDERMANLANDS LÄN</t>
        </is>
      </c>
      <c r="E71" t="inlineStr">
        <is>
          <t>TROSA</t>
        </is>
      </c>
      <c r="G71" t="n">
        <v>32.8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55719-2020</t>
        </is>
      </c>
      <c r="B72" s="1" t="n">
        <v>44132</v>
      </c>
      <c r="C72" s="1" t="n">
        <v>45648</v>
      </c>
      <c r="D72" t="inlineStr">
        <is>
          <t>SÖDERMANLANDS LÄN</t>
        </is>
      </c>
      <c r="E72" t="inlineStr">
        <is>
          <t>TROSA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55753-2020</t>
        </is>
      </c>
      <c r="B73" s="1" t="n">
        <v>44132</v>
      </c>
      <c r="C73" s="1" t="n">
        <v>45648</v>
      </c>
      <c r="D73" t="inlineStr">
        <is>
          <t>SÖDERMANLANDS LÄN</t>
        </is>
      </c>
      <c r="E73" t="inlineStr">
        <is>
          <t>TROSA</t>
        </is>
      </c>
      <c r="G73" t="n">
        <v>8.5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55746-2020</t>
        </is>
      </c>
      <c r="B74" s="1" t="n">
        <v>44132</v>
      </c>
      <c r="C74" s="1" t="n">
        <v>45648</v>
      </c>
      <c r="D74" t="inlineStr">
        <is>
          <t>SÖDERMANLANDS LÄN</t>
        </is>
      </c>
      <c r="E74" t="inlineStr">
        <is>
          <t>TROSA</t>
        </is>
      </c>
      <c r="F74" t="inlineStr">
        <is>
          <t>Kommuner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56179-2020</t>
        </is>
      </c>
      <c r="B75" s="1" t="n">
        <v>44133</v>
      </c>
      <c r="C75" s="1" t="n">
        <v>45648</v>
      </c>
      <c r="D75" t="inlineStr">
        <is>
          <t>SÖDERMANLANDS LÄN</t>
        </is>
      </c>
      <c r="E75" t="inlineStr">
        <is>
          <t>TROSA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59927-2020</t>
        </is>
      </c>
      <c r="B76" s="1" t="n">
        <v>44151</v>
      </c>
      <c r="C76" s="1" t="n">
        <v>45648</v>
      </c>
      <c r="D76" t="inlineStr">
        <is>
          <t>SÖDERMANLANDS LÄN</t>
        </is>
      </c>
      <c r="E76" t="inlineStr">
        <is>
          <t>TROSA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7127-2021</t>
        </is>
      </c>
      <c r="B77" s="1" t="n">
        <v>44238</v>
      </c>
      <c r="C77" s="1" t="n">
        <v>45648</v>
      </c>
      <c r="D77" t="inlineStr">
        <is>
          <t>SÖDERMANLANDS LÄN</t>
        </is>
      </c>
      <c r="E77" t="inlineStr">
        <is>
          <t>TROSA</t>
        </is>
      </c>
      <c r="F77" t="inlineStr">
        <is>
          <t>Kommuner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7251-2021</t>
        </is>
      </c>
      <c r="B78" s="1" t="n">
        <v>44238</v>
      </c>
      <c r="C78" s="1" t="n">
        <v>45648</v>
      </c>
      <c r="D78" t="inlineStr">
        <is>
          <t>SÖDERMANLANDS LÄN</t>
        </is>
      </c>
      <c r="E78" t="inlineStr">
        <is>
          <t>TROSA</t>
        </is>
      </c>
      <c r="F78" t="inlineStr">
        <is>
          <t>Kyrkan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9009-2021</t>
        </is>
      </c>
      <c r="B79" s="1" t="n">
        <v>44249</v>
      </c>
      <c r="C79" s="1" t="n">
        <v>45648</v>
      </c>
      <c r="D79" t="inlineStr">
        <is>
          <t>SÖDERMANLANDS LÄN</t>
        </is>
      </c>
      <c r="E79" t="inlineStr">
        <is>
          <t>TROSA</t>
        </is>
      </c>
      <c r="F79" t="inlineStr">
        <is>
          <t>Holmen skog AB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9027-2021</t>
        </is>
      </c>
      <c r="B80" s="1" t="n">
        <v>44249</v>
      </c>
      <c r="C80" s="1" t="n">
        <v>45648</v>
      </c>
      <c r="D80" t="inlineStr">
        <is>
          <t>SÖDERMANLANDS LÄN</t>
        </is>
      </c>
      <c r="E80" t="inlineStr">
        <is>
          <t>TROSA</t>
        </is>
      </c>
      <c r="F80" t="inlineStr">
        <is>
          <t>Holmen skog AB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8970-2021</t>
        </is>
      </c>
      <c r="B81" s="1" t="n">
        <v>44249</v>
      </c>
      <c r="C81" s="1" t="n">
        <v>45648</v>
      </c>
      <c r="D81" t="inlineStr">
        <is>
          <t>SÖDERMANLANDS LÄN</t>
        </is>
      </c>
      <c r="E81" t="inlineStr">
        <is>
          <t>TROSA</t>
        </is>
      </c>
      <c r="F81" t="inlineStr">
        <is>
          <t>Holmen skog AB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12024-2021</t>
        </is>
      </c>
      <c r="B82" s="1" t="n">
        <v>44266</v>
      </c>
      <c r="C82" s="1" t="n">
        <v>45648</v>
      </c>
      <c r="D82" t="inlineStr">
        <is>
          <t>SÖDERMANLANDS LÄN</t>
        </is>
      </c>
      <c r="E82" t="inlineStr">
        <is>
          <t>TROSA</t>
        </is>
      </c>
      <c r="F82" t="inlineStr">
        <is>
          <t>Holmen skog AB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15604-2021</t>
        </is>
      </c>
      <c r="B83" s="1" t="n">
        <v>44285</v>
      </c>
      <c r="C83" s="1" t="n">
        <v>45648</v>
      </c>
      <c r="D83" t="inlineStr">
        <is>
          <t>SÖDERMANLANDS LÄN</t>
        </is>
      </c>
      <c r="E83" t="inlineStr">
        <is>
          <t>TROSA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16557-2021</t>
        </is>
      </c>
      <c r="B84" s="1" t="n">
        <v>44293</v>
      </c>
      <c r="C84" s="1" t="n">
        <v>45648</v>
      </c>
      <c r="D84" t="inlineStr">
        <is>
          <t>SÖDERMANLANDS LÄN</t>
        </is>
      </c>
      <c r="E84" t="inlineStr">
        <is>
          <t>TROSA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40169-2021</t>
        </is>
      </c>
      <c r="B85" s="1" t="n">
        <v>44418</v>
      </c>
      <c r="C85" s="1" t="n">
        <v>45648</v>
      </c>
      <c r="D85" t="inlineStr">
        <is>
          <t>SÖDERMANLANDS LÄN</t>
        </is>
      </c>
      <c r="E85" t="inlineStr">
        <is>
          <t>TROSA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56315-2021</t>
        </is>
      </c>
      <c r="B86" s="1" t="n">
        <v>44480</v>
      </c>
      <c r="C86" s="1" t="n">
        <v>45648</v>
      </c>
      <c r="D86" t="inlineStr">
        <is>
          <t>SÖDERMANLANDS LÄN</t>
        </is>
      </c>
      <c r="E86" t="inlineStr">
        <is>
          <t>TROSA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58922-2021</t>
        </is>
      </c>
      <c r="B87" s="1" t="n">
        <v>44489</v>
      </c>
      <c r="C87" s="1" t="n">
        <v>45648</v>
      </c>
      <c r="D87" t="inlineStr">
        <is>
          <t>SÖDERMANLANDS LÄN</t>
        </is>
      </c>
      <c r="E87" t="inlineStr">
        <is>
          <t>TROSA</t>
        </is>
      </c>
      <c r="F87" t="inlineStr">
        <is>
          <t>Holmen skog AB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59266-2021</t>
        </is>
      </c>
      <c r="B88" s="1" t="n">
        <v>44490</v>
      </c>
      <c r="C88" s="1" t="n">
        <v>45648</v>
      </c>
      <c r="D88" t="inlineStr">
        <is>
          <t>SÖDERMANLANDS LÄN</t>
        </is>
      </c>
      <c r="E88" t="inlineStr">
        <is>
          <t>TROSA</t>
        </is>
      </c>
      <c r="F88" t="inlineStr">
        <is>
          <t>Holmen skog AB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68175-2021</t>
        </is>
      </c>
      <c r="B89" s="1" t="n">
        <v>44526</v>
      </c>
      <c r="C89" s="1" t="n">
        <v>45648</v>
      </c>
      <c r="D89" t="inlineStr">
        <is>
          <t>SÖDERMANLANDS LÄN</t>
        </is>
      </c>
      <c r="E89" t="inlineStr">
        <is>
          <t>TROSA</t>
        </is>
      </c>
      <c r="F89" t="inlineStr">
        <is>
          <t>Holmen skog AB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69094-2021</t>
        </is>
      </c>
      <c r="B90" s="1" t="n">
        <v>44530</v>
      </c>
      <c r="C90" s="1" t="n">
        <v>45648</v>
      </c>
      <c r="D90" t="inlineStr">
        <is>
          <t>SÖDERMANLANDS LÄN</t>
        </is>
      </c>
      <c r="E90" t="inlineStr">
        <is>
          <t>TROSA</t>
        </is>
      </c>
      <c r="F90" t="inlineStr">
        <is>
          <t>Holmen skog AB</t>
        </is>
      </c>
      <c r="G90" t="n">
        <v>8.1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69966-2021</t>
        </is>
      </c>
      <c r="B91" s="1" t="n">
        <v>44533</v>
      </c>
      <c r="C91" s="1" t="n">
        <v>45648</v>
      </c>
      <c r="D91" t="inlineStr">
        <is>
          <t>SÖDERMANLANDS LÄN</t>
        </is>
      </c>
      <c r="E91" t="inlineStr">
        <is>
          <t>TROSA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72054-2021</t>
        </is>
      </c>
      <c r="B92" s="1" t="n">
        <v>44544</v>
      </c>
      <c r="C92" s="1" t="n">
        <v>45648</v>
      </c>
      <c r="D92" t="inlineStr">
        <is>
          <t>SÖDERMANLANDS LÄN</t>
        </is>
      </c>
      <c r="E92" t="inlineStr">
        <is>
          <t>TROSA</t>
        </is>
      </c>
      <c r="F92" t="inlineStr">
        <is>
          <t>Holmen skog AB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3139-2022</t>
        </is>
      </c>
      <c r="B93" s="1" t="n">
        <v>44582</v>
      </c>
      <c r="C93" s="1" t="n">
        <v>45648</v>
      </c>
      <c r="D93" t="inlineStr">
        <is>
          <t>SÖDERMANLANDS LÄN</t>
        </is>
      </c>
      <c r="E93" t="inlineStr">
        <is>
          <t>TROSA</t>
        </is>
      </c>
      <c r="F93" t="inlineStr">
        <is>
          <t>Övriga Aktiebolag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3134-2022</t>
        </is>
      </c>
      <c r="B94" s="1" t="n">
        <v>44582</v>
      </c>
      <c r="C94" s="1" t="n">
        <v>45648</v>
      </c>
      <c r="D94" t="inlineStr">
        <is>
          <t>SÖDERMANLANDS LÄN</t>
        </is>
      </c>
      <c r="E94" t="inlineStr">
        <is>
          <t>TROSA</t>
        </is>
      </c>
      <c r="F94" t="inlineStr">
        <is>
          <t>Övriga Aktiebolag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6109-2022</t>
        </is>
      </c>
      <c r="B95" s="1" t="n">
        <v>44599</v>
      </c>
      <c r="C95" s="1" t="n">
        <v>45648</v>
      </c>
      <c r="D95" t="inlineStr">
        <is>
          <t>SÖDERMANLANDS LÄN</t>
        </is>
      </c>
      <c r="E95" t="inlineStr">
        <is>
          <t>TROSA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6124-2022</t>
        </is>
      </c>
      <c r="B96" s="1" t="n">
        <v>44599</v>
      </c>
      <c r="C96" s="1" t="n">
        <v>45648</v>
      </c>
      <c r="D96" t="inlineStr">
        <is>
          <t>SÖDERMANLANDS LÄN</t>
        </is>
      </c>
      <c r="E96" t="inlineStr">
        <is>
          <t>TROSA</t>
        </is>
      </c>
      <c r="F96" t="inlineStr">
        <is>
          <t>Holmen skog AB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6102-2022</t>
        </is>
      </c>
      <c r="B97" s="1" t="n">
        <v>44599</v>
      </c>
      <c r="C97" s="1" t="n">
        <v>45648</v>
      </c>
      <c r="D97" t="inlineStr">
        <is>
          <t>SÖDERMANLANDS LÄN</t>
        </is>
      </c>
      <c r="E97" t="inlineStr">
        <is>
          <t>TROSA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15542-2022</t>
        </is>
      </c>
      <c r="B98" s="1" t="n">
        <v>44662</v>
      </c>
      <c r="C98" s="1" t="n">
        <v>45648</v>
      </c>
      <c r="D98" t="inlineStr">
        <is>
          <t>SÖDERMANLANDS LÄN</t>
        </is>
      </c>
      <c r="E98" t="inlineStr">
        <is>
          <t>TROSA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17600-2022</t>
        </is>
      </c>
      <c r="B99" s="1" t="n">
        <v>44680</v>
      </c>
      <c r="C99" s="1" t="n">
        <v>45648</v>
      </c>
      <c r="D99" t="inlineStr">
        <is>
          <t>SÖDERMANLANDS LÄN</t>
        </is>
      </c>
      <c r="E99" t="inlineStr">
        <is>
          <t>TROSA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23609-2022</t>
        </is>
      </c>
      <c r="B100" s="1" t="n">
        <v>44721</v>
      </c>
      <c r="C100" s="1" t="n">
        <v>45648</v>
      </c>
      <c r="D100" t="inlineStr">
        <is>
          <t>SÖDERMANLANDS LÄN</t>
        </is>
      </c>
      <c r="E100" t="inlineStr">
        <is>
          <t>TROSA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25851-2022</t>
        </is>
      </c>
      <c r="B101" s="1" t="n">
        <v>44733</v>
      </c>
      <c r="C101" s="1" t="n">
        <v>45648</v>
      </c>
      <c r="D101" t="inlineStr">
        <is>
          <t>SÖDERMANLANDS LÄN</t>
        </is>
      </c>
      <c r="E101" t="inlineStr">
        <is>
          <t>TROSA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29618-2022</t>
        </is>
      </c>
      <c r="B102" s="1" t="n">
        <v>44754</v>
      </c>
      <c r="C102" s="1" t="n">
        <v>45648</v>
      </c>
      <c r="D102" t="inlineStr">
        <is>
          <t>SÖDERMANLANDS LÄN</t>
        </is>
      </c>
      <c r="E102" t="inlineStr">
        <is>
          <t>TROSA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29943-2022</t>
        </is>
      </c>
      <c r="B103" s="1" t="n">
        <v>44756</v>
      </c>
      <c r="C103" s="1" t="n">
        <v>45648</v>
      </c>
      <c r="D103" t="inlineStr">
        <is>
          <t>SÖDERMANLANDS LÄN</t>
        </is>
      </c>
      <c r="E103" t="inlineStr">
        <is>
          <t>TROSA</t>
        </is>
      </c>
      <c r="G103" t="n">
        <v>11.4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29930-2022</t>
        </is>
      </c>
      <c r="B104" s="1" t="n">
        <v>44756</v>
      </c>
      <c r="C104" s="1" t="n">
        <v>45648</v>
      </c>
      <c r="D104" t="inlineStr">
        <is>
          <t>SÖDERMANLANDS LÄN</t>
        </is>
      </c>
      <c r="E104" t="inlineStr">
        <is>
          <t>TROSA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44579-2022</t>
        </is>
      </c>
      <c r="B105" s="1" t="n">
        <v>44840</v>
      </c>
      <c r="C105" s="1" t="n">
        <v>45648</v>
      </c>
      <c r="D105" t="inlineStr">
        <is>
          <t>SÖDERMANLANDS LÄN</t>
        </is>
      </c>
      <c r="E105" t="inlineStr">
        <is>
          <t>TROSA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44720-2022</t>
        </is>
      </c>
      <c r="B106" s="1" t="n">
        <v>44840</v>
      </c>
      <c r="C106" s="1" t="n">
        <v>45648</v>
      </c>
      <c r="D106" t="inlineStr">
        <is>
          <t>SÖDERMANLANDS LÄN</t>
        </is>
      </c>
      <c r="E106" t="inlineStr">
        <is>
          <t>TROSA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47049-2022</t>
        </is>
      </c>
      <c r="B107" s="1" t="n">
        <v>44852</v>
      </c>
      <c r="C107" s="1" t="n">
        <v>45648</v>
      </c>
      <c r="D107" t="inlineStr">
        <is>
          <t>SÖDERMANLANDS LÄN</t>
        </is>
      </c>
      <c r="E107" t="inlineStr">
        <is>
          <t>TROSA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47046-2022</t>
        </is>
      </c>
      <c r="B108" s="1" t="n">
        <v>44852</v>
      </c>
      <c r="C108" s="1" t="n">
        <v>45648</v>
      </c>
      <c r="D108" t="inlineStr">
        <is>
          <t>SÖDERMANLANDS LÄN</t>
        </is>
      </c>
      <c r="E108" t="inlineStr">
        <is>
          <t>TROSA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56117-2022</t>
        </is>
      </c>
      <c r="B109" s="1" t="n">
        <v>44889</v>
      </c>
      <c r="C109" s="1" t="n">
        <v>45648</v>
      </c>
      <c r="D109" t="inlineStr">
        <is>
          <t>SÖDERMANLANDS LÄN</t>
        </is>
      </c>
      <c r="E109" t="inlineStr">
        <is>
          <t>TROSA</t>
        </is>
      </c>
      <c r="F109" t="inlineStr">
        <is>
          <t>Holmen skog AB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61975-2022</t>
        </is>
      </c>
      <c r="B110" s="1" t="n">
        <v>44916</v>
      </c>
      <c r="C110" s="1" t="n">
        <v>45648</v>
      </c>
      <c r="D110" t="inlineStr">
        <is>
          <t>SÖDERMANLANDS LÄN</t>
        </is>
      </c>
      <c r="E110" t="inlineStr">
        <is>
          <t>TROSA</t>
        </is>
      </c>
      <c r="F110" t="inlineStr">
        <is>
          <t>Övriga Aktiebolag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62474-2022</t>
        </is>
      </c>
      <c r="B111" s="1" t="n">
        <v>44916</v>
      </c>
      <c r="C111" s="1" t="n">
        <v>45648</v>
      </c>
      <c r="D111" t="inlineStr">
        <is>
          <t>SÖDERMANLANDS LÄN</t>
        </is>
      </c>
      <c r="E111" t="inlineStr">
        <is>
          <t>TROSA</t>
        </is>
      </c>
      <c r="F111" t="inlineStr">
        <is>
          <t>Övriga Aktiebolag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62473-2022</t>
        </is>
      </c>
      <c r="B112" s="1" t="n">
        <v>44916</v>
      </c>
      <c r="C112" s="1" t="n">
        <v>45648</v>
      </c>
      <c r="D112" t="inlineStr">
        <is>
          <t>SÖDERMANLANDS LÄN</t>
        </is>
      </c>
      <c r="E112" t="inlineStr">
        <is>
          <t>TROSA</t>
        </is>
      </c>
      <c r="F112" t="inlineStr">
        <is>
          <t>Övriga Aktiebolag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62469-2022</t>
        </is>
      </c>
      <c r="B113" s="1" t="n">
        <v>44916</v>
      </c>
      <c r="C113" s="1" t="n">
        <v>45648</v>
      </c>
      <c r="D113" t="inlineStr">
        <is>
          <t>SÖDERMANLANDS LÄN</t>
        </is>
      </c>
      <c r="E113" t="inlineStr">
        <is>
          <t>TROSA</t>
        </is>
      </c>
      <c r="F113" t="inlineStr">
        <is>
          <t>Övriga Aktiebolag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1571-2023</t>
        </is>
      </c>
      <c r="B114" s="1" t="n">
        <v>44937</v>
      </c>
      <c r="C114" s="1" t="n">
        <v>45648</v>
      </c>
      <c r="D114" t="inlineStr">
        <is>
          <t>SÖDERMANLANDS LÄN</t>
        </is>
      </c>
      <c r="E114" t="inlineStr">
        <is>
          <t>TROSA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1431-2023</t>
        </is>
      </c>
      <c r="B115" s="1" t="n">
        <v>44937</v>
      </c>
      <c r="C115" s="1" t="n">
        <v>45648</v>
      </c>
      <c r="D115" t="inlineStr">
        <is>
          <t>SÖDERMANLANDS LÄN</t>
        </is>
      </c>
      <c r="E115" t="inlineStr">
        <is>
          <t>TROSA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1589-2023</t>
        </is>
      </c>
      <c r="B116" s="1" t="n">
        <v>44937</v>
      </c>
      <c r="C116" s="1" t="n">
        <v>45648</v>
      </c>
      <c r="D116" t="inlineStr">
        <is>
          <t>SÖDERMANLANDS LÄN</t>
        </is>
      </c>
      <c r="E116" t="inlineStr">
        <is>
          <t>TROSA</t>
        </is>
      </c>
      <c r="G116" t="n">
        <v>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3741-2023</t>
        </is>
      </c>
      <c r="B117" s="1" t="n">
        <v>44951</v>
      </c>
      <c r="C117" s="1" t="n">
        <v>45648</v>
      </c>
      <c r="D117" t="inlineStr">
        <is>
          <t>SÖDERMANLANDS LÄN</t>
        </is>
      </c>
      <c r="E117" t="inlineStr">
        <is>
          <t>TROSA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13463-2023</t>
        </is>
      </c>
      <c r="B118" s="1" t="n">
        <v>45005</v>
      </c>
      <c r="C118" s="1" t="n">
        <v>45648</v>
      </c>
      <c r="D118" t="inlineStr">
        <is>
          <t>SÖDERMANLANDS LÄN</t>
        </is>
      </c>
      <c r="E118" t="inlineStr">
        <is>
          <t>TROSA</t>
        </is>
      </c>
      <c r="F118" t="inlineStr">
        <is>
          <t>Holmen skog AB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13471-2023</t>
        </is>
      </c>
      <c r="B119" s="1" t="n">
        <v>45005</v>
      </c>
      <c r="C119" s="1" t="n">
        <v>45648</v>
      </c>
      <c r="D119" t="inlineStr">
        <is>
          <t>SÖDERMANLANDS LÄN</t>
        </is>
      </c>
      <c r="E119" t="inlineStr">
        <is>
          <t>TROSA</t>
        </is>
      </c>
      <c r="F119" t="inlineStr">
        <is>
          <t>Holmen skog AB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13810-2023</t>
        </is>
      </c>
      <c r="B120" s="1" t="n">
        <v>45007</v>
      </c>
      <c r="C120" s="1" t="n">
        <v>45648</v>
      </c>
      <c r="D120" t="inlineStr">
        <is>
          <t>SÖDERMANLANDS LÄN</t>
        </is>
      </c>
      <c r="E120" t="inlineStr">
        <is>
          <t>TROSA</t>
        </is>
      </c>
      <c r="F120" t="inlineStr">
        <is>
          <t>Holmen skog AB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13845-2023</t>
        </is>
      </c>
      <c r="B121" s="1" t="n">
        <v>45007</v>
      </c>
      <c r="C121" s="1" t="n">
        <v>45648</v>
      </c>
      <c r="D121" t="inlineStr">
        <is>
          <t>SÖDERMANLANDS LÄN</t>
        </is>
      </c>
      <c r="E121" t="inlineStr">
        <is>
          <t>TROSA</t>
        </is>
      </c>
      <c r="F121" t="inlineStr">
        <is>
          <t>Holmen skog AB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13829-2023</t>
        </is>
      </c>
      <c r="B122" s="1" t="n">
        <v>45007</v>
      </c>
      <c r="C122" s="1" t="n">
        <v>45648</v>
      </c>
      <c r="D122" t="inlineStr">
        <is>
          <t>SÖDERMANLANDS LÄN</t>
        </is>
      </c>
      <c r="E122" t="inlineStr">
        <is>
          <t>TROSA</t>
        </is>
      </c>
      <c r="F122" t="inlineStr">
        <is>
          <t>Holmen skog AB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13839-2023</t>
        </is>
      </c>
      <c r="B123" s="1" t="n">
        <v>45007</v>
      </c>
      <c r="C123" s="1" t="n">
        <v>45648</v>
      </c>
      <c r="D123" t="inlineStr">
        <is>
          <t>SÖDERMANLANDS LÄN</t>
        </is>
      </c>
      <c r="E123" t="inlineStr">
        <is>
          <t>TROSA</t>
        </is>
      </c>
      <c r="F123" t="inlineStr">
        <is>
          <t>Holmen skog AB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15151-2023</t>
        </is>
      </c>
      <c r="B124" s="1" t="n">
        <v>45016</v>
      </c>
      <c r="C124" s="1" t="n">
        <v>45648</v>
      </c>
      <c r="D124" t="inlineStr">
        <is>
          <t>SÖDERMANLANDS LÄN</t>
        </is>
      </c>
      <c r="E124" t="inlineStr">
        <is>
          <t>TROSA</t>
        </is>
      </c>
      <c r="F124" t="inlineStr">
        <is>
          <t>Holmen skog AB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15156-2023</t>
        </is>
      </c>
      <c r="B125" s="1" t="n">
        <v>45016</v>
      </c>
      <c r="C125" s="1" t="n">
        <v>45648</v>
      </c>
      <c r="D125" t="inlineStr">
        <is>
          <t>SÖDERMANLANDS LÄN</t>
        </is>
      </c>
      <c r="E125" t="inlineStr">
        <is>
          <t>TROSA</t>
        </is>
      </c>
      <c r="F125" t="inlineStr">
        <is>
          <t>Holmen skog AB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15169-2023</t>
        </is>
      </c>
      <c r="B126" s="1" t="n">
        <v>45016</v>
      </c>
      <c r="C126" s="1" t="n">
        <v>45648</v>
      </c>
      <c r="D126" t="inlineStr">
        <is>
          <t>SÖDERMANLANDS LÄN</t>
        </is>
      </c>
      <c r="E126" t="inlineStr">
        <is>
          <t>TROSA</t>
        </is>
      </c>
      <c r="F126" t="inlineStr">
        <is>
          <t>Holmen skog AB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15153-2023</t>
        </is>
      </c>
      <c r="B127" s="1" t="n">
        <v>45016</v>
      </c>
      <c r="C127" s="1" t="n">
        <v>45648</v>
      </c>
      <c r="D127" t="inlineStr">
        <is>
          <t>SÖDERMANLANDS LÄN</t>
        </is>
      </c>
      <c r="E127" t="inlineStr">
        <is>
          <t>TROSA</t>
        </is>
      </c>
      <c r="F127" t="inlineStr">
        <is>
          <t>Holmen skog AB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15293-2023</t>
        </is>
      </c>
      <c r="B128" s="1" t="n">
        <v>45019</v>
      </c>
      <c r="C128" s="1" t="n">
        <v>45648</v>
      </c>
      <c r="D128" t="inlineStr">
        <is>
          <t>SÖDERMANLANDS LÄN</t>
        </is>
      </c>
      <c r="E128" t="inlineStr">
        <is>
          <t>TROSA</t>
        </is>
      </c>
      <c r="F128" t="inlineStr">
        <is>
          <t>Holmen skog AB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16029-2023</t>
        </is>
      </c>
      <c r="B129" s="1" t="n">
        <v>45027</v>
      </c>
      <c r="C129" s="1" t="n">
        <v>45648</v>
      </c>
      <c r="D129" t="inlineStr">
        <is>
          <t>SÖDERMANLANDS LÄN</t>
        </is>
      </c>
      <c r="E129" t="inlineStr">
        <is>
          <t>TROSA</t>
        </is>
      </c>
      <c r="F129" t="inlineStr">
        <is>
          <t>Holmen skog AB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17986-2023</t>
        </is>
      </c>
      <c r="B130" s="1" t="n">
        <v>45040</v>
      </c>
      <c r="C130" s="1" t="n">
        <v>45648</v>
      </c>
      <c r="D130" t="inlineStr">
        <is>
          <t>SÖDERMANLANDS LÄN</t>
        </is>
      </c>
      <c r="E130" t="inlineStr">
        <is>
          <t>TROSA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17988-2023</t>
        </is>
      </c>
      <c r="B131" s="1" t="n">
        <v>45040</v>
      </c>
      <c r="C131" s="1" t="n">
        <v>45648</v>
      </c>
      <c r="D131" t="inlineStr">
        <is>
          <t>SÖDERMANLANDS LÄN</t>
        </is>
      </c>
      <c r="E131" t="inlineStr">
        <is>
          <t>TROSA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45070-2023</t>
        </is>
      </c>
      <c r="B132" s="1" t="n">
        <v>45191</v>
      </c>
      <c r="C132" s="1" t="n">
        <v>45648</v>
      </c>
      <c r="D132" t="inlineStr">
        <is>
          <t>SÖDERMANLANDS LÄN</t>
        </is>
      </c>
      <c r="E132" t="inlineStr">
        <is>
          <t>TROSA</t>
        </is>
      </c>
      <c r="F132" t="inlineStr">
        <is>
          <t>Kommuner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57271-2023</t>
        </is>
      </c>
      <c r="B133" s="1" t="n">
        <v>45239</v>
      </c>
      <c r="C133" s="1" t="n">
        <v>45648</v>
      </c>
      <c r="D133" t="inlineStr">
        <is>
          <t>SÖDERMANLANDS LÄN</t>
        </is>
      </c>
      <c r="E133" t="inlineStr">
        <is>
          <t>TROSA</t>
        </is>
      </c>
      <c r="F133" t="inlineStr">
        <is>
          <t>Övriga Aktiebolag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57316-2023</t>
        </is>
      </c>
      <c r="B134" s="1" t="n">
        <v>45240</v>
      </c>
      <c r="C134" s="1" t="n">
        <v>45648</v>
      </c>
      <c r="D134" t="inlineStr">
        <is>
          <t>SÖDERMANLANDS LÄN</t>
        </is>
      </c>
      <c r="E134" t="inlineStr">
        <is>
          <t>TROSA</t>
        </is>
      </c>
      <c r="F134" t="inlineStr">
        <is>
          <t>Övriga Aktiebolag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56935-2023</t>
        </is>
      </c>
      <c r="B135" s="1" t="n">
        <v>45244</v>
      </c>
      <c r="C135" s="1" t="n">
        <v>45648</v>
      </c>
      <c r="D135" t="inlineStr">
        <is>
          <t>SÖDERMANLANDS LÄN</t>
        </is>
      </c>
      <c r="E135" t="inlineStr">
        <is>
          <t>TROSA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56987-2023</t>
        </is>
      </c>
      <c r="B136" s="1" t="n">
        <v>45244</v>
      </c>
      <c r="C136" s="1" t="n">
        <v>45648</v>
      </c>
      <c r="D136" t="inlineStr">
        <is>
          <t>SÖDERMANLANDS LÄN</t>
        </is>
      </c>
      <c r="E136" t="inlineStr">
        <is>
          <t>TROSA</t>
        </is>
      </c>
      <c r="F136" t="inlineStr">
        <is>
          <t>Kommuner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57004-2023</t>
        </is>
      </c>
      <c r="B137" s="1" t="n">
        <v>45244</v>
      </c>
      <c r="C137" s="1" t="n">
        <v>45648</v>
      </c>
      <c r="D137" t="inlineStr">
        <is>
          <t>SÖDERMANLANDS LÄN</t>
        </is>
      </c>
      <c r="E137" t="inlineStr">
        <is>
          <t>TROSA</t>
        </is>
      </c>
      <c r="F137" t="inlineStr">
        <is>
          <t>Kommuner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60805-2023</t>
        </is>
      </c>
      <c r="B138" s="1" t="n">
        <v>45260</v>
      </c>
      <c r="C138" s="1" t="n">
        <v>45648</v>
      </c>
      <c r="D138" t="inlineStr">
        <is>
          <t>SÖDERMANLANDS LÄN</t>
        </is>
      </c>
      <c r="E138" t="inlineStr">
        <is>
          <t>TROSA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60807-2023</t>
        </is>
      </c>
      <c r="B139" s="1" t="n">
        <v>45260</v>
      </c>
      <c r="C139" s="1" t="n">
        <v>45648</v>
      </c>
      <c r="D139" t="inlineStr">
        <is>
          <t>SÖDERMANLANDS LÄN</t>
        </is>
      </c>
      <c r="E139" t="inlineStr">
        <is>
          <t>TROSA</t>
        </is>
      </c>
      <c r="G139" t="n">
        <v>7.8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64286-2023</t>
        </is>
      </c>
      <c r="B140" s="1" t="n">
        <v>45280</v>
      </c>
      <c r="C140" s="1" t="n">
        <v>45648</v>
      </c>
      <c r="D140" t="inlineStr">
        <is>
          <t>SÖDERMANLANDS LÄN</t>
        </is>
      </c>
      <c r="E140" t="inlineStr">
        <is>
          <t>TROSA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4978-2024</t>
        </is>
      </c>
      <c r="B141" s="1" t="n">
        <v>45329</v>
      </c>
      <c r="C141" s="1" t="n">
        <v>45648</v>
      </c>
      <c r="D141" t="inlineStr">
        <is>
          <t>SÖDERMANLANDS LÄN</t>
        </is>
      </c>
      <c r="E141" t="inlineStr">
        <is>
          <t>TROSA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7177-2024</t>
        </is>
      </c>
      <c r="B142" s="1" t="n">
        <v>45344</v>
      </c>
      <c r="C142" s="1" t="n">
        <v>45648</v>
      </c>
      <c r="D142" t="inlineStr">
        <is>
          <t>SÖDERMANLANDS LÄN</t>
        </is>
      </c>
      <c r="E142" t="inlineStr">
        <is>
          <t>TROSA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7217-2024</t>
        </is>
      </c>
      <c r="B143" s="1" t="n">
        <v>45344</v>
      </c>
      <c r="C143" s="1" t="n">
        <v>45648</v>
      </c>
      <c r="D143" t="inlineStr">
        <is>
          <t>SÖDERMANLANDS LÄN</t>
        </is>
      </c>
      <c r="E143" t="inlineStr">
        <is>
          <t>TROSA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7204-2024</t>
        </is>
      </c>
      <c r="B144" s="1" t="n">
        <v>45344</v>
      </c>
      <c r="C144" s="1" t="n">
        <v>45648</v>
      </c>
      <c r="D144" t="inlineStr">
        <is>
          <t>SÖDERMANLANDS LÄN</t>
        </is>
      </c>
      <c r="E144" t="inlineStr">
        <is>
          <t>TROSA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11066-2024</t>
        </is>
      </c>
      <c r="B145" s="1" t="n">
        <v>45370</v>
      </c>
      <c r="C145" s="1" t="n">
        <v>45648</v>
      </c>
      <c r="D145" t="inlineStr">
        <is>
          <t>SÖDERMANLANDS LÄN</t>
        </is>
      </c>
      <c r="E145" t="inlineStr">
        <is>
          <t>TROSA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11743-2024</t>
        </is>
      </c>
      <c r="B146" s="1" t="n">
        <v>45373</v>
      </c>
      <c r="C146" s="1" t="n">
        <v>45648</v>
      </c>
      <c r="D146" t="inlineStr">
        <is>
          <t>SÖDERMANLANDS LÄN</t>
        </is>
      </c>
      <c r="E146" t="inlineStr">
        <is>
          <t>TROSA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11736-2024</t>
        </is>
      </c>
      <c r="B147" s="1" t="n">
        <v>45373</v>
      </c>
      <c r="C147" s="1" t="n">
        <v>45648</v>
      </c>
      <c r="D147" t="inlineStr">
        <is>
          <t>SÖDERMANLANDS LÄN</t>
        </is>
      </c>
      <c r="E147" t="inlineStr">
        <is>
          <t>TROSA</t>
        </is>
      </c>
      <c r="G147" t="n">
        <v>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11740-2024</t>
        </is>
      </c>
      <c r="B148" s="1" t="n">
        <v>45373</v>
      </c>
      <c r="C148" s="1" t="n">
        <v>45648</v>
      </c>
      <c r="D148" t="inlineStr">
        <is>
          <t>SÖDERMANLANDS LÄN</t>
        </is>
      </c>
      <c r="E148" t="inlineStr">
        <is>
          <t>TROSA</t>
        </is>
      </c>
      <c r="F148" t="inlineStr">
        <is>
          <t>Kommuner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11742-2024</t>
        </is>
      </c>
      <c r="B149" s="1" t="n">
        <v>45373</v>
      </c>
      <c r="C149" s="1" t="n">
        <v>45648</v>
      </c>
      <c r="D149" t="inlineStr">
        <is>
          <t>SÖDERMANLANDS LÄN</t>
        </is>
      </c>
      <c r="E149" t="inlineStr">
        <is>
          <t>TROSA</t>
        </is>
      </c>
      <c r="F149" t="inlineStr">
        <is>
          <t>Kommuner</t>
        </is>
      </c>
      <c r="G149" t="n">
        <v>8.199999999999999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12453-2024</t>
        </is>
      </c>
      <c r="B150" s="1" t="n">
        <v>45379</v>
      </c>
      <c r="C150" s="1" t="n">
        <v>45648</v>
      </c>
      <c r="D150" t="inlineStr">
        <is>
          <t>SÖDERMANLANDS LÄN</t>
        </is>
      </c>
      <c r="E150" t="inlineStr">
        <is>
          <t>TROSA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12447-2024</t>
        </is>
      </c>
      <c r="B151" s="1" t="n">
        <v>45379</v>
      </c>
      <c r="C151" s="1" t="n">
        <v>45648</v>
      </c>
      <c r="D151" t="inlineStr">
        <is>
          <t>SÖDERMANLANDS LÄN</t>
        </is>
      </c>
      <c r="E151" t="inlineStr">
        <is>
          <t>TROSA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12457-2024</t>
        </is>
      </c>
      <c r="B152" s="1" t="n">
        <v>45379</v>
      </c>
      <c r="C152" s="1" t="n">
        <v>45648</v>
      </c>
      <c r="D152" t="inlineStr">
        <is>
          <t>SÖDERMANLANDS LÄN</t>
        </is>
      </c>
      <c r="E152" t="inlineStr">
        <is>
          <t>TROSA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15216-2024</t>
        </is>
      </c>
      <c r="B153" s="1" t="n">
        <v>45400</v>
      </c>
      <c r="C153" s="1" t="n">
        <v>45648</v>
      </c>
      <c r="D153" t="inlineStr">
        <is>
          <t>SÖDERMANLANDS LÄN</t>
        </is>
      </c>
      <c r="E153" t="inlineStr">
        <is>
          <t>TROSA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26782-2024</t>
        </is>
      </c>
      <c r="B154" s="1" t="n">
        <v>45470</v>
      </c>
      <c r="C154" s="1" t="n">
        <v>45648</v>
      </c>
      <c r="D154" t="inlineStr">
        <is>
          <t>SÖDERMANLANDS LÄN</t>
        </is>
      </c>
      <c r="E154" t="inlineStr">
        <is>
          <t>TROSA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35054-2024</t>
        </is>
      </c>
      <c r="B155" s="1" t="n">
        <v>45527</v>
      </c>
      <c r="C155" s="1" t="n">
        <v>45648</v>
      </c>
      <c r="D155" t="inlineStr">
        <is>
          <t>SÖDERMANLANDS LÄN</t>
        </is>
      </c>
      <c r="E155" t="inlineStr">
        <is>
          <t>TROSA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35058-2024</t>
        </is>
      </c>
      <c r="B156" s="1" t="n">
        <v>45527</v>
      </c>
      <c r="C156" s="1" t="n">
        <v>45648</v>
      </c>
      <c r="D156" t="inlineStr">
        <is>
          <t>SÖDERMANLANDS LÄN</t>
        </is>
      </c>
      <c r="E156" t="inlineStr">
        <is>
          <t>TROSA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36712-2024</t>
        </is>
      </c>
      <c r="B157" s="1" t="n">
        <v>45537</v>
      </c>
      <c r="C157" s="1" t="n">
        <v>45648</v>
      </c>
      <c r="D157" t="inlineStr">
        <is>
          <t>SÖDERMANLANDS LÄN</t>
        </is>
      </c>
      <c r="E157" t="inlineStr">
        <is>
          <t>TROSA</t>
        </is>
      </c>
      <c r="F157" t="inlineStr">
        <is>
          <t>Övriga Aktiebolag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36709-2024</t>
        </is>
      </c>
      <c r="B158" s="1" t="n">
        <v>45537</v>
      </c>
      <c r="C158" s="1" t="n">
        <v>45648</v>
      </c>
      <c r="D158" t="inlineStr">
        <is>
          <t>SÖDERMANLANDS LÄN</t>
        </is>
      </c>
      <c r="E158" t="inlineStr">
        <is>
          <t>TROSA</t>
        </is>
      </c>
      <c r="F158" t="inlineStr">
        <is>
          <t>Övriga Aktiebolag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36710-2024</t>
        </is>
      </c>
      <c r="B159" s="1" t="n">
        <v>45537</v>
      </c>
      <c r="C159" s="1" t="n">
        <v>45648</v>
      </c>
      <c r="D159" t="inlineStr">
        <is>
          <t>SÖDERMANLANDS LÄN</t>
        </is>
      </c>
      <c r="E159" t="inlineStr">
        <is>
          <t>TROSA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36711-2024</t>
        </is>
      </c>
      <c r="B160" s="1" t="n">
        <v>45537</v>
      </c>
      <c r="C160" s="1" t="n">
        <v>45648</v>
      </c>
      <c r="D160" t="inlineStr">
        <is>
          <t>SÖDERMANLANDS LÄN</t>
        </is>
      </c>
      <c r="E160" t="inlineStr">
        <is>
          <t>TROSA</t>
        </is>
      </c>
      <c r="F160" t="inlineStr">
        <is>
          <t>Övriga Aktiebolag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36812-2024</t>
        </is>
      </c>
      <c r="B161" s="1" t="n">
        <v>45537</v>
      </c>
      <c r="C161" s="1" t="n">
        <v>45648</v>
      </c>
      <c r="D161" t="inlineStr">
        <is>
          <t>SÖDERMANLANDS LÄN</t>
        </is>
      </c>
      <c r="E161" t="inlineStr">
        <is>
          <t>TROSA</t>
        </is>
      </c>
      <c r="F161" t="inlineStr">
        <is>
          <t>Övriga Aktiebolag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39827-2024</t>
        </is>
      </c>
      <c r="B162" s="1" t="n">
        <v>45553</v>
      </c>
      <c r="C162" s="1" t="n">
        <v>45648</v>
      </c>
      <c r="D162" t="inlineStr">
        <is>
          <t>SÖDERMANLANDS LÄN</t>
        </is>
      </c>
      <c r="E162" t="inlineStr">
        <is>
          <t>TROSA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45024-2024</t>
        </is>
      </c>
      <c r="B163" s="1" t="n">
        <v>45575</v>
      </c>
      <c r="C163" s="1" t="n">
        <v>45648</v>
      </c>
      <c r="D163" t="inlineStr">
        <is>
          <t>SÖDERMANLANDS LÄN</t>
        </is>
      </c>
      <c r="E163" t="inlineStr">
        <is>
          <t>TROSA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48793-2024</t>
        </is>
      </c>
      <c r="B164" s="1" t="n">
        <v>45593</v>
      </c>
      <c r="C164" s="1" t="n">
        <v>45648</v>
      </c>
      <c r="D164" t="inlineStr">
        <is>
          <t>SÖDERMANLANDS LÄN</t>
        </is>
      </c>
      <c r="E164" t="inlineStr">
        <is>
          <t>TROSA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51545-2024</t>
        </is>
      </c>
      <c r="B165" s="1" t="n">
        <v>45603</v>
      </c>
      <c r="C165" s="1" t="n">
        <v>45648</v>
      </c>
      <c r="D165" t="inlineStr">
        <is>
          <t>SÖDERMANLANDS LÄN</t>
        </is>
      </c>
      <c r="E165" t="inlineStr">
        <is>
          <t>TROSA</t>
        </is>
      </c>
      <c r="G165" t="n">
        <v>9.800000000000001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51611-2024</t>
        </is>
      </c>
      <c r="B166" s="1" t="n">
        <v>45603</v>
      </c>
      <c r="C166" s="1" t="n">
        <v>45648</v>
      </c>
      <c r="D166" t="inlineStr">
        <is>
          <t>SÖDERMANLANDS LÄN</t>
        </is>
      </c>
      <c r="E166" t="inlineStr">
        <is>
          <t>TROSA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51602-2024</t>
        </is>
      </c>
      <c r="B167" s="1" t="n">
        <v>45603</v>
      </c>
      <c r="C167" s="1" t="n">
        <v>45648</v>
      </c>
      <c r="D167" t="inlineStr">
        <is>
          <t>SÖDERMANLANDS LÄN</t>
        </is>
      </c>
      <c r="E167" t="inlineStr">
        <is>
          <t>TROSA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57005-2024</t>
        </is>
      </c>
      <c r="B168" s="1" t="n">
        <v>45628</v>
      </c>
      <c r="C168" s="1" t="n">
        <v>45648</v>
      </c>
      <c r="D168" t="inlineStr">
        <is>
          <t>SÖDERMANLANDS LÄN</t>
        </is>
      </c>
      <c r="E168" t="inlineStr">
        <is>
          <t>TROSA</t>
        </is>
      </c>
      <c r="F168" t="inlineStr">
        <is>
          <t>Kyrkan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60723-2024</t>
        </is>
      </c>
      <c r="B169" s="1" t="n">
        <v>45644</v>
      </c>
      <c r="C169" s="1" t="n">
        <v>45648</v>
      </c>
      <c r="D169" t="inlineStr">
        <is>
          <t>SÖDERMANLANDS LÄN</t>
        </is>
      </c>
      <c r="E169" t="inlineStr">
        <is>
          <t>TROSA</t>
        </is>
      </c>
      <c r="F169" t="inlineStr">
        <is>
          <t>Holmen skog AB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60728-2024</t>
        </is>
      </c>
      <c r="B170" s="1" t="n">
        <v>45644</v>
      </c>
      <c r="C170" s="1" t="n">
        <v>45648</v>
      </c>
      <c r="D170" t="inlineStr">
        <is>
          <t>SÖDERMANLANDS LÄN</t>
        </is>
      </c>
      <c r="E170" t="inlineStr">
        <is>
          <t>TROSA</t>
        </is>
      </c>
      <c r="F170" t="inlineStr">
        <is>
          <t>Holmen skog AB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60722-2024</t>
        </is>
      </c>
      <c r="B171" s="1" t="n">
        <v>45644</v>
      </c>
      <c r="C171" s="1" t="n">
        <v>45648</v>
      </c>
      <c r="D171" t="inlineStr">
        <is>
          <t>SÖDERMANLANDS LÄN</t>
        </is>
      </c>
      <c r="E171" t="inlineStr">
        <is>
          <t>TROSA</t>
        </is>
      </c>
      <c r="F171" t="inlineStr">
        <is>
          <t>Holmen skog AB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60957-2024</t>
        </is>
      </c>
      <c r="B172" s="1" t="n">
        <v>45645</v>
      </c>
      <c r="C172" s="1" t="n">
        <v>45648</v>
      </c>
      <c r="D172" t="inlineStr">
        <is>
          <t>SÖDERMANLANDS LÄN</t>
        </is>
      </c>
      <c r="E172" t="inlineStr">
        <is>
          <t>TROSA</t>
        </is>
      </c>
      <c r="F172" t="inlineStr">
        <is>
          <t>Holmen skog AB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>
      <c r="A173" t="inlineStr">
        <is>
          <t>A 61000-2024</t>
        </is>
      </c>
      <c r="B173" s="1" t="n">
        <v>45645</v>
      </c>
      <c r="C173" s="1" t="n">
        <v>45648</v>
      </c>
      <c r="D173" t="inlineStr">
        <is>
          <t>SÖDERMANLANDS LÄN</t>
        </is>
      </c>
      <c r="E173" t="inlineStr">
        <is>
          <t>TROSA</t>
        </is>
      </c>
      <c r="G173" t="n">
        <v>10.1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2024-12-22T15:55:20Z</dcterms:created>
  <dcterms:modified xmlns:dcterms="http://purl.org/dc/terms/" xmlns:xsi="http://www.w3.org/2001/XMLSchema-instance" xsi:type="dcterms:W3CDTF">2024-12-22T15:55:20Z</dcterms:modified>
</cp:coreProperties>
</file>