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46326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46326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46326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46326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46326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46326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46326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46326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46326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46326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46326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10390-2026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46077</v>
      </c>
      <c r="E13" s="1" t="n">
        <v>46326</v>
      </c>
      <c r="F13" t="inlineStr">
        <is>
          <t>SÖDERMANLANDS LÄN</t>
        </is>
      </c>
      <c r="G13" t="inlineStr">
        <is>
          <t>TROSA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HYPERLINK("https://klasma.github.io/Logging_0488/artfynd/A 10390-2026 artfynd.xlsx", "A 10390-2026")</f>
        <v/>
      </c>
      <c r="X13">
        <f>HYPERLINK("https://klasma.github.io/Logging_0488/kartor/A 10390-2026 karta.png", "A 10390-2026")</f>
        <v/>
      </c>
      <c r="Y13">
        <f>HYPERLINK("https://klasma.github.io/Logging_0488/kartor_geotiff/A 10390-2026 georefererad karta.tif", "A 10390-2026")</f>
        <v/>
      </c>
      <c r="AA13">
        <f>HYPERLINK("https://klasma.github.io/Logging_0488/klagomål/A 10390-2026 FSC-klagomål.docx", "A 10390-2026")</f>
        <v/>
      </c>
      <c r="AB13">
        <f>HYPERLINK("https://klasma.github.io/Logging_0488/klagomålsmail/A 10390-2026 FSC-klagomål mail.docx", "A 10390-2026")</f>
        <v/>
      </c>
      <c r="AC13">
        <f>HYPERLINK("https://klasma.github.io/Logging_0488/tillsyn/A 10390-2026 tillsynsbegäran.docx", "A 10390-2026")</f>
        <v/>
      </c>
      <c r="AD13">
        <f>HYPERLINK("https://klasma.github.io/Logging_0488/tillsynsmail/A 10390-2026 tillsynsbegäran mail.docx", "A 10390-2026")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46326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46326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46326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46326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46326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46326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46326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29943-2022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44756</v>
      </c>
      <c r="E21" s="1" t="n">
        <v>46326</v>
      </c>
      <c r="F21" t="inlineStr">
        <is>
          <t>SÖDERMANLANDS LÄN</t>
        </is>
      </c>
      <c r="G21" t="inlineStr">
        <is>
          <t>TROSA</t>
        </is>
      </c>
      <c r="I21" t="n">
        <v>11.4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25851-2022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44733</v>
      </c>
      <c r="E22" s="1" t="n">
        <v>46326</v>
      </c>
      <c r="F22" t="inlineStr">
        <is>
          <t>SÖDERMANLANDS LÄN</t>
        </is>
      </c>
      <c r="G22" t="inlineStr">
        <is>
          <t>TROSA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63049-2021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46326</v>
      </c>
      <c r="F23" t="inlineStr">
        <is>
          <t>SÖDERMANLANDS LÄN</t>
        </is>
      </c>
      <c r="G23" t="inlineStr">
        <is>
          <t>TROSA</t>
        </is>
      </c>
      <c r="H23" t="inlineStr">
        <is>
          <t>Holmen skog AB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46326</v>
      </c>
      <c r="F24" t="inlineStr">
        <is>
          <t>SÖDERMANLANDS LÄN</t>
        </is>
      </c>
      <c r="G24" t="inlineStr">
        <is>
          <t>TROSA</t>
        </is>
      </c>
      <c r="H24" t="inlineStr">
        <is>
          <t>Övriga Aktiebolag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6109-2022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44599</v>
      </c>
      <c r="E25" s="1" t="n">
        <v>46326</v>
      </c>
      <c r="F25" t="inlineStr">
        <is>
          <t>SÖDERMANLANDS LÄN</t>
        </is>
      </c>
      <c r="G25" t="inlineStr">
        <is>
          <t>TROSA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36710-2024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45537</v>
      </c>
      <c r="E26" s="1" t="n">
        <v>46326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13839-2023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46326</v>
      </c>
      <c r="F27" t="inlineStr">
        <is>
          <t>SÖDERMANLANDS LÄN</t>
        </is>
      </c>
      <c r="G27" t="inlineStr">
        <is>
          <t>TROSA</t>
        </is>
      </c>
      <c r="H27" t="inlineStr">
        <is>
          <t>Holmen skog AB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46326</v>
      </c>
      <c r="F28" t="inlineStr">
        <is>
          <t>SÖDERMANLANDS LÄN</t>
        </is>
      </c>
      <c r="G28" t="inlineStr">
        <is>
          <t>TROSA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44720-2022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46326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46326</v>
      </c>
      <c r="F30" t="inlineStr">
        <is>
          <t>SÖDERMANLANDS LÄN</t>
        </is>
      </c>
      <c r="G30" t="inlineStr">
        <is>
          <t>TROSA</t>
        </is>
      </c>
      <c r="I30" t="n">
        <v>6.3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46326</v>
      </c>
      <c r="F31" t="inlineStr">
        <is>
          <t>SÖDERMANLANDS LÄN</t>
        </is>
      </c>
      <c r="G31" t="inlineStr">
        <is>
          <t>TROSA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44579-2022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46326</v>
      </c>
      <c r="F32" t="inlineStr">
        <is>
          <t>SÖDERMANLANDS LÄN</t>
        </is>
      </c>
      <c r="G32" t="inlineStr">
        <is>
          <t>TROSA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15293-2023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46326</v>
      </c>
      <c r="F33" t="inlineStr">
        <is>
          <t>SÖDERMANLANDS LÄN</t>
        </is>
      </c>
      <c r="G33" t="inlineStr">
        <is>
          <t>TROSA</t>
        </is>
      </c>
      <c r="H33" t="inlineStr">
        <is>
          <t>Holmen skog AB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45379</v>
      </c>
      <c r="E34" s="1" t="n">
        <v>46326</v>
      </c>
      <c r="F34" t="inlineStr">
        <is>
          <t>SÖDERMANLANDS LÄN</t>
        </is>
      </c>
      <c r="G34" t="inlineStr">
        <is>
          <t>TROSA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45933</v>
      </c>
      <c r="E35" s="1" t="n">
        <v>46326</v>
      </c>
      <c r="F35" t="inlineStr">
        <is>
          <t>SÖDERMANLANDS LÄN</t>
        </is>
      </c>
      <c r="G35" t="inlineStr">
        <is>
          <t>TROSA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17600-2022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44680</v>
      </c>
      <c r="E36" s="1" t="n">
        <v>46326</v>
      </c>
      <c r="F36" t="inlineStr">
        <is>
          <t>SÖDERMANLANDS LÄN</t>
        </is>
      </c>
      <c r="G36" t="inlineStr">
        <is>
          <t>TROSA</t>
        </is>
      </c>
      <c r="I36" t="n">
        <v>7.7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46326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46326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10393-2026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46077</v>
      </c>
      <c r="E39" s="1" t="n">
        <v>46326</v>
      </c>
      <c r="F39" t="inlineStr">
        <is>
          <t>SÖDERMANLANDS LÄN</t>
        </is>
      </c>
      <c r="G39" t="inlineStr">
        <is>
          <t>TROSA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46326</v>
      </c>
      <c r="F40" t="inlineStr">
        <is>
          <t>SÖDERMANLANDS LÄN</t>
        </is>
      </c>
      <c r="G40" t="inlineStr">
        <is>
          <t>TROSA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11083-2026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46079</v>
      </c>
      <c r="E41" s="1" t="n">
        <v>46326</v>
      </c>
      <c r="F41" t="inlineStr">
        <is>
          <t>SÖDERMANLANDS LÄN</t>
        </is>
      </c>
      <c r="G41" t="inlineStr">
        <is>
          <t>TROSA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11039-2026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46079</v>
      </c>
      <c r="E42" s="1" t="n">
        <v>46326</v>
      </c>
      <c r="F42" t="inlineStr">
        <is>
          <t>SÖDERMANLANDS LÄN</t>
        </is>
      </c>
      <c r="G42" t="inlineStr">
        <is>
          <t>TROSA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11069-2026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46079</v>
      </c>
      <c r="E43" s="1" t="n">
        <v>46326</v>
      </c>
      <c r="F43" t="inlineStr">
        <is>
          <t>SÖDERMANLANDS LÄN</t>
        </is>
      </c>
      <c r="G43" t="inlineStr">
        <is>
          <t>TROSA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46326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46326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46326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12574-2026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46090</v>
      </c>
      <c r="E47" s="1" t="n">
        <v>46326</v>
      </c>
      <c r="F47" t="inlineStr">
        <is>
          <t>SÖDERMANLANDS LÄN</t>
        </is>
      </c>
      <c r="G47" t="inlineStr">
        <is>
          <t>TROSA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59222-2025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46326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45537</v>
      </c>
      <c r="E49" s="1" t="n">
        <v>46326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36711-2024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45537</v>
      </c>
      <c r="E50" s="1" t="n">
        <v>46326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11740-2024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46326</v>
      </c>
      <c r="F51" t="inlineStr">
        <is>
          <t>SÖDERMANLANDS LÄN</t>
        </is>
      </c>
      <c r="G51" t="inlineStr">
        <is>
          <t>TROSA</t>
        </is>
      </c>
      <c r="H51" t="inlineStr">
        <is>
          <t>Kommuner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44756</v>
      </c>
      <c r="E52" s="1" t="n">
        <v>46326</v>
      </c>
      <c r="F52" t="inlineStr">
        <is>
          <t>SÖDERMANLANDS LÄN</t>
        </is>
      </c>
      <c r="G52" t="inlineStr">
        <is>
          <t>TROSA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35058-2024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45527</v>
      </c>
      <c r="E53" s="1" t="n">
        <v>46326</v>
      </c>
      <c r="F53" t="inlineStr">
        <is>
          <t>SÖDERMANLANDS LÄN</t>
        </is>
      </c>
      <c r="G53" t="inlineStr">
        <is>
          <t>TROSA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46326</v>
      </c>
      <c r="F54" t="inlineStr">
        <is>
          <t>SÖDERMANLANDS LÄN</t>
        </is>
      </c>
      <c r="G54" t="inlineStr">
        <is>
          <t>TROSA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62474-2022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44916</v>
      </c>
      <c r="E55" s="1" t="n">
        <v>46326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32213-2025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45835</v>
      </c>
      <c r="E56" s="1" t="n">
        <v>46326</v>
      </c>
      <c r="F56" t="inlineStr">
        <is>
          <t>SÖDERMANLANDS LÄN</t>
        </is>
      </c>
      <c r="G56" t="inlineStr">
        <is>
          <t>TROSA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31166-2025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45832</v>
      </c>
      <c r="E57" s="1" t="n">
        <v>46326</v>
      </c>
      <c r="F57" t="inlineStr">
        <is>
          <t>SÖDERMANLANDS LÄN</t>
        </is>
      </c>
      <c r="G57" t="inlineStr">
        <is>
          <t>TROSA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46326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46326</v>
      </c>
      <c r="F59" t="inlineStr">
        <is>
          <t>SÖDERMANLANDS LÄN</t>
        </is>
      </c>
      <c r="G59" t="inlineStr">
        <is>
          <t>TROSA</t>
        </is>
      </c>
      <c r="H59" t="inlineStr">
        <is>
          <t>Holmen skog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44916</v>
      </c>
      <c r="E60" s="1" t="n">
        <v>46326</v>
      </c>
      <c r="F60" t="inlineStr">
        <is>
          <t>SÖDERMANLANDS LÄN</t>
        </is>
      </c>
      <c r="G60" t="inlineStr">
        <is>
          <t>TROSA</t>
        </is>
      </c>
      <c r="H60" t="inlineStr">
        <is>
          <t>Övriga Aktiebolag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39827-2024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45553</v>
      </c>
      <c r="E61" s="1" t="n">
        <v>46326</v>
      </c>
      <c r="F61" t="inlineStr">
        <is>
          <t>SÖDERMANLANDS LÄN</t>
        </is>
      </c>
      <c r="G61" t="inlineStr">
        <is>
          <t>TROSA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46326</v>
      </c>
      <c r="F62" t="inlineStr">
        <is>
          <t>SÖDERMANLANDS LÄN</t>
        </is>
      </c>
      <c r="G62" t="inlineStr">
        <is>
          <t>TROSA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45344</v>
      </c>
      <c r="E63" s="1" t="n">
        <v>46326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10998-2024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45370</v>
      </c>
      <c r="E64" s="1" t="n">
        <v>46326</v>
      </c>
      <c r="F64" t="inlineStr">
        <is>
          <t>SÖDERMANLANDS LÄN</t>
        </is>
      </c>
      <c r="G64" t="inlineStr">
        <is>
          <t>TROSA</t>
        </is>
      </c>
      <c r="I64" t="n">
        <v>9.5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16029-2023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45027</v>
      </c>
      <c r="E65" s="1" t="n">
        <v>46326</v>
      </c>
      <c r="F65" t="inlineStr">
        <is>
          <t>SÖDERMANLANDS LÄN</t>
        </is>
      </c>
      <c r="G65" t="inlineStr">
        <is>
          <t>TROSA</t>
        </is>
      </c>
      <c r="H65" t="inlineStr">
        <is>
          <t>Holmen skog AB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11103-2026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46079</v>
      </c>
      <c r="E66" s="1" t="n">
        <v>46326</v>
      </c>
      <c r="F66" t="inlineStr">
        <is>
          <t>SÖDERMANLANDS LÄN</t>
        </is>
      </c>
      <c r="G66" t="inlineStr">
        <is>
          <t>TROSA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46326</v>
      </c>
      <c r="F67" t="inlineStr">
        <is>
          <t>SÖDERMANLANDS LÄN</t>
        </is>
      </c>
      <c r="G67" t="inlineStr">
        <is>
          <t>TROSA</t>
        </is>
      </c>
      <c r="H67" t="inlineStr">
        <is>
          <t>Kommuner</t>
        </is>
      </c>
      <c r="I67" t="n">
        <v>8.199999999999999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46326</v>
      </c>
      <c r="F68" t="inlineStr">
        <is>
          <t>SÖDERMANLANDS LÄN</t>
        </is>
      </c>
      <c r="G68" t="inlineStr">
        <is>
          <t>TROSA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13675-2025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45736</v>
      </c>
      <c r="E69" s="1" t="n">
        <v>46326</v>
      </c>
      <c r="F69" t="inlineStr">
        <is>
          <t>SÖDERMANLANDS LÄN</t>
        </is>
      </c>
      <c r="G69" t="inlineStr">
        <is>
          <t>TROSA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46326</v>
      </c>
      <c r="F70" t="inlineStr">
        <is>
          <t>SÖDERMANLANDS LÄN</t>
        </is>
      </c>
      <c r="G70" t="inlineStr">
        <is>
          <t>TROSA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15169-2023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46326</v>
      </c>
      <c r="F71" t="inlineStr">
        <is>
          <t>SÖDERMANLANDS LÄN</t>
        </is>
      </c>
      <c r="G71" t="inlineStr">
        <is>
          <t>TROSA</t>
        </is>
      </c>
      <c r="H71" t="inlineStr">
        <is>
          <t>Holmen skog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36712-2024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45537</v>
      </c>
      <c r="E72" s="1" t="n">
        <v>46326</v>
      </c>
      <c r="F72" t="inlineStr">
        <is>
          <t>SÖDERMANLANDS LÄN</t>
        </is>
      </c>
      <c r="G72" t="inlineStr">
        <is>
          <t>TROSA</t>
        </is>
      </c>
      <c r="H72" t="inlineStr">
        <is>
          <t>Övriga Aktiebolag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45007</v>
      </c>
      <c r="E73" s="1" t="n">
        <v>46326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44937</v>
      </c>
      <c r="E74" s="1" t="n">
        <v>46326</v>
      </c>
      <c r="F74" t="inlineStr">
        <is>
          <t>SÖDERMANLANDS LÄN</t>
        </is>
      </c>
      <c r="G74" t="inlineStr">
        <is>
          <t>TROSA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48793-2024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45593</v>
      </c>
      <c r="E75" s="1" t="n">
        <v>46326</v>
      </c>
      <c r="F75" t="inlineStr">
        <is>
          <t>SÖDERMANLANDS LÄN</t>
        </is>
      </c>
      <c r="G75" t="inlineStr">
        <is>
          <t>TROSA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35054-2024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46326</v>
      </c>
      <c r="F76" t="inlineStr">
        <is>
          <t>SÖDERMANLANDS LÄN</t>
        </is>
      </c>
      <c r="G76" t="inlineStr">
        <is>
          <t>TROSA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46273</v>
      </c>
      <c r="E77" s="1" t="n">
        <v>46326</v>
      </c>
      <c r="F77" t="inlineStr">
        <is>
          <t>SÖDERMANLANDS LÄN</t>
        </is>
      </c>
      <c r="G77" t="inlineStr">
        <is>
          <t>TROSA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45151-2026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46324</v>
      </c>
      <c r="E78" s="1" t="n">
        <v>46326</v>
      </c>
      <c r="F78" t="inlineStr">
        <is>
          <t>SÖDERMANLANDS LÄN</t>
        </is>
      </c>
      <c r="G78" t="inlineStr">
        <is>
          <t>TROSA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S 4203-2023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45253</v>
      </c>
      <c r="E79" s="1" t="n">
        <v>46326</v>
      </c>
      <c r="F79" t="inlineStr">
        <is>
          <t>SÖDERMANLANDS LÄN</t>
        </is>
      </c>
      <c r="G79" t="inlineStr">
        <is>
          <t>TROSA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>
      <c r="A80" t="inlineStr">
        <is>
          <t>S 632-2025</t>
        </is>
      </c>
      <c r="B80" t="inlineStr">
        <is>
          <t>samrådsanmälan</t>
        </is>
      </c>
      <c r="C80" t="inlineStr">
        <is>
          <t>Skogsgödsling</t>
        </is>
      </c>
      <c r="D80" s="1" t="n">
        <v>45714</v>
      </c>
      <c r="E80" s="1" t="n">
        <v>46326</v>
      </c>
      <c r="F80" t="inlineStr">
        <is>
          <t>SÖDERMANLANDS LÄN</t>
        </is>
      </c>
      <c r="G80" t="inlineStr">
        <is>
          <t>TROSA</t>
        </is>
      </c>
      <c r="H80" t="inlineStr">
        <is>
          <t>Holmen skog AB</t>
        </is>
      </c>
      <c r="I80" t="n">
        <v>36.2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2026-10-31T03:22:16Z</dcterms:created>
  <dcterms:modified xmlns:dcterms="http://purl.org/dc/terms/" xmlns:xsi="http://www.w3.org/2001/XMLSchema-instance" xsi:type="dcterms:W3CDTF">2026-10-31T03:22:16Z</dcterms:modified>
</cp:coreProperties>
</file>