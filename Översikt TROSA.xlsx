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46233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48791-2024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45593</v>
      </c>
      <c r="E3" s="1" t="n">
        <v>46233</v>
      </c>
      <c r="F3" t="inlineStr">
        <is>
          <t>SÖDERMANLANDS LÄN</t>
        </is>
      </c>
      <c r="G3" t="inlineStr">
        <is>
          <t>TROSA</t>
        </is>
      </c>
      <c r="I3" t="n">
        <v>20.7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8</v>
      </c>
      <c r="U3" t="n">
        <v>6</v>
      </c>
      <c r="V3" s="2" t="inlineStr">
        <is>
          <t>Kricka
Svart skogssnigel
Korallrot
Svavelriska
Mattlummer
Havsörn
Fläcknycklar</t>
        </is>
      </c>
      <c r="W3">
        <f>HYPERLINK("https://klasma.github.io/Logging_0488/artfynd/A 48791-2024 artfynd.xlsx", "A 48791-2024")</f>
        <v/>
      </c>
      <c r="X3">
        <f>HYPERLINK("https://klasma.github.io/Logging_0488/kartor/A 48791-2024 karta.png", "A 48791-2024")</f>
        <v/>
      </c>
      <c r="Y3">
        <f>HYPERLINK("https://klasma.github.io/Logging_0488/kartor_geotiff/A 48791-2024 georefererad karta.tif", "A 48791-2024")</f>
        <v/>
      </c>
      <c r="AA3">
        <f>HYPERLINK("https://klasma.github.io/Logging_0488/klagomål/A 48791-2024 FSC-klagomål.docx", "A 48791-2024")</f>
        <v/>
      </c>
      <c r="AB3">
        <f>HYPERLINK("https://klasma.github.io/Logging_0488/klagomålsmail/A 48791-2024 FSC-klagomål mail.docx", "A 48791-2024")</f>
        <v/>
      </c>
      <c r="AC3">
        <f>HYPERLINK("https://klasma.github.io/Logging_0488/tillsyn/A 48791-2024 tillsynsbegäran.docx", "A 48791-2024")</f>
        <v/>
      </c>
      <c r="AD3">
        <f>HYPERLINK("https://klasma.github.io/Logging_0488/tillsynsmail/A 48791-2024 tillsynsbegäran mail.docx", "A 48791-2024")</f>
        <v/>
      </c>
      <c r="AE3">
        <f>HYPERLINK("https://klasma.github.io/Logging_0488/fåglar/A 48791-2024 prioriterade fågelarter.docx", "A 48791-2024")</f>
        <v/>
      </c>
    </row>
    <row r="4" ht="15" customHeight="1">
      <c r="A4" t="inlineStr">
        <is>
          <t>A 13760-2022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44649</v>
      </c>
      <c r="E4" s="1" t="n">
        <v>46233</v>
      </c>
      <c r="F4" t="inlineStr">
        <is>
          <t>SÖDERMANLANDS LÄN</t>
        </is>
      </c>
      <c r="G4" t="inlineStr">
        <is>
          <t>TROSA</t>
        </is>
      </c>
      <c r="H4" t="inlineStr">
        <is>
          <t>Övriga statliga verk och myndigheter</t>
        </is>
      </c>
      <c r="I4" t="n">
        <v>2</v>
      </c>
      <c r="J4" t="n">
        <v>3</v>
      </c>
      <c r="K4" t="n">
        <v>1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6</v>
      </c>
      <c r="U4" t="n">
        <v>3</v>
      </c>
      <c r="V4" s="2" t="inlineStr">
        <is>
          <t>Ask
Tofsvipa
Gullpudra
Kricka
Strutbräken
Sångsvan</t>
        </is>
      </c>
      <c r="W4">
        <f>HYPERLINK("https://klasma.github.io/Logging_0488/artfynd/A 13760-2022 artfynd.xlsx", "A 13760-2022")</f>
        <v/>
      </c>
      <c r="X4">
        <f>HYPERLINK("https://klasma.github.io/Logging_0488/kartor/A 13760-2022 karta.png", "A 13760-2022")</f>
        <v/>
      </c>
      <c r="Y4">
        <f>HYPERLINK("https://klasma.github.io/Logging_0488/kartor_geotiff/A 13760-2022 georefererad karta.tif", "A 13760-2022")</f>
        <v/>
      </c>
      <c r="AA4">
        <f>HYPERLINK("https://klasma.github.io/Logging_0488/klagomål/A 13760-2022 FSC-klagomål.docx", "A 13760-2022")</f>
        <v/>
      </c>
      <c r="AB4">
        <f>HYPERLINK("https://klasma.github.io/Logging_0488/klagomålsmail/A 13760-2022 FSC-klagomål mail.docx", "A 13760-2022")</f>
        <v/>
      </c>
      <c r="AC4">
        <f>HYPERLINK("https://klasma.github.io/Logging_0488/tillsyn/A 13760-2022 tillsynsbegäran.docx", "A 13760-2022")</f>
        <v/>
      </c>
      <c r="AD4">
        <f>HYPERLINK("https://klasma.github.io/Logging_0488/tillsynsmail/A 13760-2022 tillsynsbegäran mail.docx", "A 13760-2022")</f>
        <v/>
      </c>
      <c r="AE4">
        <f>HYPERLINK("https://klasma.github.io/Logging_0488/fåglar/A 13760-2022 prioriterade fågelarter.docx", "A 13760-2022")</f>
        <v/>
      </c>
    </row>
    <row r="5" ht="15" customHeight="1">
      <c r="A5" t="inlineStr">
        <is>
          <t>A 53869-2024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45614</v>
      </c>
      <c r="E5" s="1" t="n">
        <v>46233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20</v>
      </c>
      <c r="J5" t="n">
        <v>3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6</v>
      </c>
      <c r="U5" t="n">
        <v>5</v>
      </c>
      <c r="V5" s="2" t="inlineStr">
        <is>
          <t>Gullpudra
Kricka
Älg
Stubbspretmossa
Spillkråka
Kungsfågel</t>
        </is>
      </c>
      <c r="W5">
        <f>HYPERLINK("https://klasma.github.io/Logging_0488/artfynd/A 53869-2024 artfynd.xlsx", "A 53869-2024")</f>
        <v/>
      </c>
      <c r="X5">
        <f>HYPERLINK("https://klasma.github.io/Logging_0488/kartor/A 53869-2024 karta.png", "A 53869-2024")</f>
        <v/>
      </c>
      <c r="Y5">
        <f>HYPERLINK("https://klasma.github.io/Logging_0488/kartor_geotiff/A 53869-2024 georefererad karta.tif", "A 53869-2024")</f>
        <v/>
      </c>
      <c r="AA5">
        <f>HYPERLINK("https://klasma.github.io/Logging_0488/klagomål/A 53869-2024 FSC-klagomål.docx", "A 53869-2024")</f>
        <v/>
      </c>
      <c r="AB5">
        <f>HYPERLINK("https://klasma.github.io/Logging_0488/klagomålsmail/A 53869-2024 FSC-klagomål mail.docx", "A 53869-2024")</f>
        <v/>
      </c>
      <c r="AC5">
        <f>HYPERLINK("https://klasma.github.io/Logging_0488/tillsyn/A 53869-2024 tillsynsbegäran.docx", "A 53869-2024")</f>
        <v/>
      </c>
      <c r="AD5">
        <f>HYPERLINK("https://klasma.github.io/Logging_0488/tillsynsmail/A 53869-2024 tillsynsbegäran mail.docx", "A 53869-2024")</f>
        <v/>
      </c>
      <c r="AE5">
        <f>HYPERLINK("https://klasma.github.io/Logging_0488/fåglar/A 53869-2024 prioriterade fågelarter.docx", "A 53869-2024")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46233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46233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46233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46233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46233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46233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46233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46233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11123-2023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44986</v>
      </c>
      <c r="E14" s="1" t="n">
        <v>46233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statliga verk och myndigheter</t>
        </is>
      </c>
      <c r="I14" t="n">
        <v>9.4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HYPERLINK("https://klasma.github.io/Logging_0488/artfynd/A 11123-2023 artfynd.xlsx", "A 11123-2023")</f>
        <v/>
      </c>
      <c r="X14">
        <f>HYPERLINK("https://klasma.github.io/Logging_0488/kartor/A 11123-2023 karta.png", "A 11123-2023")</f>
        <v/>
      </c>
      <c r="Y14">
        <f>HYPERLINK("https://klasma.github.io/Logging_0488/kartor_geotiff/A 11123-2023 georefererad karta.tif", "A 11123-2023")</f>
        <v/>
      </c>
      <c r="AA14">
        <f>HYPERLINK("https://klasma.github.io/Logging_0488/klagomål/A 11123-2023 FSC-klagomål.docx", "A 11123-2023")</f>
        <v/>
      </c>
      <c r="AB14">
        <f>HYPERLINK("https://klasma.github.io/Logging_0488/klagomålsmail/A 11123-2023 FSC-klagomål mail.docx", "A 11123-2023")</f>
        <v/>
      </c>
      <c r="AC14">
        <f>HYPERLINK("https://klasma.github.io/Logging_0488/tillsyn/A 11123-2023 tillsynsbegäran.docx", "A 11123-2023")</f>
        <v/>
      </c>
      <c r="AD14">
        <f>HYPERLINK("https://klasma.github.io/Logging_0488/tillsynsmail/A 11123-2023 tillsynsbegäran mail.docx", "A 11123-2023")</f>
        <v/>
      </c>
    </row>
    <row r="15" ht="15" customHeight="1">
      <c r="A15" t="inlineStr">
        <is>
          <t>A 10390-2026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46077</v>
      </c>
      <c r="E15" s="1" t="n">
        <v>46233</v>
      </c>
      <c r="F15" t="inlineStr">
        <is>
          <t>SÖDERMANLANDS LÄN</t>
        </is>
      </c>
      <c r="G15" t="inlineStr">
        <is>
          <t>TROSA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Igelkott</t>
        </is>
      </c>
      <c r="W15">
        <f>HYPERLINK("https://klasma.github.io/Logging_0488/artfynd/A 10390-2026 artfynd.xlsx", "A 10390-2026")</f>
        <v/>
      </c>
      <c r="X15">
        <f>HYPERLINK("https://klasma.github.io/Logging_0488/kartor/A 10390-2026 karta.png", "A 10390-2026")</f>
        <v/>
      </c>
      <c r="Y15">
        <f>HYPERLINK("https://klasma.github.io/Logging_0488/kartor_geotiff/A 10390-2026 georefererad karta.tif", "A 10390-2026")</f>
        <v/>
      </c>
      <c r="AA15">
        <f>HYPERLINK("https://klasma.github.io/Logging_0488/klagomål/A 10390-2026 FSC-klagomål.docx", "A 10390-2026")</f>
        <v/>
      </c>
      <c r="AB15">
        <f>HYPERLINK("https://klasma.github.io/Logging_0488/klagomålsmail/A 10390-2026 FSC-klagomål mail.docx", "A 10390-2026")</f>
        <v/>
      </c>
      <c r="AC15">
        <f>HYPERLINK("https://klasma.github.io/Logging_0488/tillsyn/A 10390-2026 tillsynsbegäran.docx", "A 10390-2026")</f>
        <v/>
      </c>
      <c r="AD15">
        <f>HYPERLINK("https://klasma.github.io/Logging_0488/tillsynsmail/A 10390-2026 tillsynsbegäran mail.docx", "A 10390-2026")</f>
        <v/>
      </c>
    </row>
    <row r="16" ht="15" customHeight="1">
      <c r="A16" t="inlineStr">
        <is>
          <t>A 57251-2025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46233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Aktiebolag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Flattoppad klubbsvamp</t>
        </is>
      </c>
      <c r="W16">
        <f>HYPERLINK("https://klasma.github.io/Logging_0488/artfynd/A 57251-2025 artfynd.xlsx", "A 57251-2025")</f>
        <v/>
      </c>
      <c r="X16">
        <f>HYPERLINK("https://klasma.github.io/Logging_0488/kartor/A 57251-2025 karta.png", "A 57251-2025")</f>
        <v/>
      </c>
      <c r="Y16">
        <f>HYPERLINK("https://klasma.github.io/Logging_0488/kartor_geotiff/A 57251-2025 georefererad karta.tif", "A 57251-2025")</f>
        <v/>
      </c>
      <c r="AA16">
        <f>HYPERLINK("https://klasma.github.io/Logging_0488/klagomål/A 57251-2025 FSC-klagomål.docx", "A 57251-2025")</f>
        <v/>
      </c>
      <c r="AB16">
        <f>HYPERLINK("https://klasma.github.io/Logging_0488/klagomålsmail/A 57251-2025 FSC-klagomål mail.docx", "A 57251-2025")</f>
        <v/>
      </c>
      <c r="AC16">
        <f>HYPERLINK("https://klasma.github.io/Logging_0488/tillsyn/A 57251-2025 tillsynsbegäran.docx", "A 57251-2025")</f>
        <v/>
      </c>
      <c r="AD16">
        <f>HYPERLINK("https://klasma.github.io/Logging_0488/tillsynsmail/A 57251-2025 tillsynsbegäran mail.docx", "A 57251-2025")</f>
        <v/>
      </c>
    </row>
    <row r="17" ht="15" customHeight="1">
      <c r="A17" t="inlineStr">
        <is>
          <t>A 57004-2023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45244</v>
      </c>
      <c r="E17" s="1" t="n">
        <v>46233</v>
      </c>
      <c r="F17" t="inlineStr">
        <is>
          <t>SÖDERMANLANDS LÄN</t>
        </is>
      </c>
      <c r="G17" t="inlineStr">
        <is>
          <t>TROSA</t>
        </is>
      </c>
      <c r="H17" t="inlineStr">
        <is>
          <t>Kommuner</t>
        </is>
      </c>
      <c r="I17" t="n">
        <v>0.7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HYPERLINK("https://klasma.github.io/Logging_0488/artfynd/A 57004-2023 artfynd.xlsx", "A 57004-2023")</f>
        <v/>
      </c>
      <c r="X17">
        <f>HYPERLINK("https://klasma.github.io/Logging_0488/kartor/A 57004-2023 karta.png", "A 57004-2023")</f>
        <v/>
      </c>
      <c r="Y17">
        <f>HYPERLINK("https://klasma.github.io/Logging_0488/kartor_geotiff/A 57004-2023 georefererad karta.tif", "A 57004-2023")</f>
        <v/>
      </c>
      <c r="AA17">
        <f>HYPERLINK("https://klasma.github.io/Logging_0488/klagomål/A 57004-2023 FSC-klagomål.docx", "A 57004-2023")</f>
        <v/>
      </c>
      <c r="AB17">
        <f>HYPERLINK("https://klasma.github.io/Logging_0488/klagomålsmail/A 57004-2023 FSC-klagomål mail.docx", "A 57004-2023")</f>
        <v/>
      </c>
      <c r="AC17">
        <f>HYPERLINK("https://klasma.github.io/Logging_0488/tillsyn/A 57004-2023 tillsynsbegäran.docx", "A 57004-2023")</f>
        <v/>
      </c>
      <c r="AD17">
        <f>HYPERLINK("https://klasma.github.io/Logging_0488/tillsynsmail/A 57004-2023 tillsynsbegäran mail.docx", "A 57004-2023")</f>
        <v/>
      </c>
      <c r="AE17">
        <f>HYPERLINK("https://klasma.github.io/Logging_0488/fåglar/A 57004-2023 prioriterade fågelarter.docx", "A 57004-2023")</f>
        <v/>
      </c>
    </row>
    <row r="18" ht="15" customHeight="1">
      <c r="A18" t="inlineStr">
        <is>
          <t>A 56117-2022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46233</v>
      </c>
      <c r="F18" t="inlineStr">
        <is>
          <t>SÖDERMANLANDS LÄN</t>
        </is>
      </c>
      <c r="G18" t="inlineStr">
        <is>
          <t>TROSA</t>
        </is>
      </c>
      <c r="H18" t="inlineStr">
        <is>
          <t>Holmen skog AB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HYPERLINK("https://klasma.github.io/Logging_0488/artfynd/A 56117-2022 artfynd.xlsx", "A 56117-2022")</f>
        <v/>
      </c>
      <c r="X18">
        <f>HYPERLINK("https://klasma.github.io/Logging_0488/kartor/A 56117-2022 karta.png", "A 56117-2022")</f>
        <v/>
      </c>
      <c r="Y18">
        <f>HYPERLINK("https://klasma.github.io/Logging_0488/kartor_geotiff/A 56117-2022 georefererad karta.tif", "A 56117-2022")</f>
        <v/>
      </c>
      <c r="AA18">
        <f>HYPERLINK("https://klasma.github.io/Logging_0488/klagomål/A 56117-2022 FSC-klagomål.docx", "A 56117-2022")</f>
        <v/>
      </c>
      <c r="AB18">
        <f>HYPERLINK("https://klasma.github.io/Logging_0488/klagomålsmail/A 56117-2022 FSC-klagomål mail.docx", "A 56117-2022")</f>
        <v/>
      </c>
      <c r="AC18">
        <f>HYPERLINK("https://klasma.github.io/Logging_0488/tillsyn/A 56117-2022 tillsynsbegäran.docx", "A 56117-2022")</f>
        <v/>
      </c>
      <c r="AD18">
        <f>HYPERLINK("https://klasma.github.io/Logging_0488/tillsynsmail/A 56117-2022 tillsynsbegäran mail.docx", "A 56117-2022")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46233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46233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46233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46233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46233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46233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46233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46233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46233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46233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44418</v>
      </c>
      <c r="E29" s="1" t="n">
        <v>46233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36709-2024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46233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36711-2024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46233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1589-2023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44937</v>
      </c>
      <c r="E32" s="1" t="n">
        <v>46233</v>
      </c>
      <c r="F32" t="inlineStr">
        <is>
          <t>SÖDERMANLANDS LÄN</t>
        </is>
      </c>
      <c r="G32" t="inlineStr">
        <is>
          <t>TROSA</t>
        </is>
      </c>
      <c r="I32" t="n">
        <v>7.1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46233</v>
      </c>
      <c r="F33" t="inlineStr">
        <is>
          <t>SÖDERMANLANDS LÄN</t>
        </is>
      </c>
      <c r="G33" t="inlineStr">
        <is>
          <t>TROSA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3337-2026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46233</v>
      </c>
      <c r="F34" t="inlineStr">
        <is>
          <t>SÖDERMANLANDS LÄN</t>
        </is>
      </c>
      <c r="G34" t="inlineStr">
        <is>
          <t>TROSA</t>
        </is>
      </c>
      <c r="I34" t="n">
        <v>6.3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44599</v>
      </c>
      <c r="E35" s="1" t="n">
        <v>46233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62474-2022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44916</v>
      </c>
      <c r="E36" s="1" t="n">
        <v>46233</v>
      </c>
      <c r="F36" t="inlineStr">
        <is>
          <t>SÖDERMANLANDS LÄN</t>
        </is>
      </c>
      <c r="G36" t="inlineStr">
        <is>
          <t>TROSA</t>
        </is>
      </c>
      <c r="H36" t="inlineStr">
        <is>
          <t>Övriga Aktiebolag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13810-2023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45007</v>
      </c>
      <c r="E37" s="1" t="n">
        <v>46233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16029-2023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45027</v>
      </c>
      <c r="E38" s="1" t="n">
        <v>46233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45344</v>
      </c>
      <c r="E39" s="1" t="n">
        <v>46233</v>
      </c>
      <c r="F39" t="inlineStr">
        <is>
          <t>SÖDERMANLANDS LÄN</t>
        </is>
      </c>
      <c r="G39" t="inlineStr">
        <is>
          <t>TROSA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48314-2025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46233</v>
      </c>
      <c r="F40" t="inlineStr">
        <is>
          <t>SÖDERMANLANDS LÄN</t>
        </is>
      </c>
      <c r="G40" t="inlineStr">
        <is>
          <t>TROSA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44599</v>
      </c>
      <c r="E41" s="1" t="n">
        <v>46233</v>
      </c>
      <c r="F41" t="inlineStr">
        <is>
          <t>SÖDERMANLANDS LÄN</t>
        </is>
      </c>
      <c r="G41" t="inlineStr">
        <is>
          <t>TROSA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55257-2025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46233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55265-2025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45968</v>
      </c>
      <c r="E43" s="1" t="n">
        <v>46233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10393-2026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46077</v>
      </c>
      <c r="E44" s="1" t="n">
        <v>46233</v>
      </c>
      <c r="F44" t="inlineStr">
        <is>
          <t>SÖDERMANLANDS LÄN</t>
        </is>
      </c>
      <c r="G44" t="inlineStr">
        <is>
          <t>TROSA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11069-2026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46079</v>
      </c>
      <c r="E45" s="1" t="n">
        <v>46233</v>
      </c>
      <c r="F45" t="inlineStr">
        <is>
          <t>SÖDERMANLANDS LÄN</t>
        </is>
      </c>
      <c r="G45" t="inlineStr">
        <is>
          <t>TROSA</t>
        </is>
      </c>
      <c r="I45" t="n">
        <v>5.2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11119-2026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46079</v>
      </c>
      <c r="E46" s="1" t="n">
        <v>46233</v>
      </c>
      <c r="F46" t="inlineStr">
        <is>
          <t>SÖDERMANLANDS LÄN</t>
        </is>
      </c>
      <c r="G46" t="inlineStr">
        <is>
          <t>TROSA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11039-2026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46079</v>
      </c>
      <c r="E47" s="1" t="n">
        <v>46233</v>
      </c>
      <c r="F47" t="inlineStr">
        <is>
          <t>SÖDERMANLANDS LÄN</t>
        </is>
      </c>
      <c r="G47" t="inlineStr">
        <is>
          <t>TROSA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11083-2026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46079</v>
      </c>
      <c r="E48" s="1" t="n">
        <v>46233</v>
      </c>
      <c r="F48" t="inlineStr">
        <is>
          <t>SÖDERMANLANDS LÄN</t>
        </is>
      </c>
      <c r="G48" t="inlineStr">
        <is>
          <t>TROSA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57342-2025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46233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46233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57344-2025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45979</v>
      </c>
      <c r="E51" s="1" t="n">
        <v>46233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59222-2025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46233</v>
      </c>
      <c r="F52" t="inlineStr">
        <is>
          <t>SÖDERMANLANDS LÄN</t>
        </is>
      </c>
      <c r="G52" t="inlineStr">
        <is>
          <t>TROSA</t>
        </is>
      </c>
      <c r="H52" t="inlineStr">
        <is>
          <t>Holmen skog AB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12574-2026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46090</v>
      </c>
      <c r="E53" s="1" t="n">
        <v>46233</v>
      </c>
      <c r="F53" t="inlineStr">
        <is>
          <t>SÖDERMANLANDS LÄN</t>
        </is>
      </c>
      <c r="G53" t="inlineStr">
        <is>
          <t>TROSA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13829-2023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45007</v>
      </c>
      <c r="E54" s="1" t="n">
        <v>46233</v>
      </c>
      <c r="F54" t="inlineStr">
        <is>
          <t>SÖDERMANLANDS LÄN</t>
        </is>
      </c>
      <c r="G54" t="inlineStr">
        <is>
          <t>TROSA</t>
        </is>
      </c>
      <c r="H54" t="inlineStr">
        <is>
          <t>Holmen skog AB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62473-2022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44916</v>
      </c>
      <c r="E55" s="1" t="n">
        <v>46233</v>
      </c>
      <c r="F55" t="inlineStr">
        <is>
          <t>SÖDERMANLANDS LÄN</t>
        </is>
      </c>
      <c r="G55" t="inlineStr">
        <is>
          <t>TROSA</t>
        </is>
      </c>
      <c r="H55" t="inlineStr">
        <is>
          <t>Övriga Aktiebolag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12447-2024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45379</v>
      </c>
      <c r="E56" s="1" t="n">
        <v>46233</v>
      </c>
      <c r="F56" t="inlineStr">
        <is>
          <t>SÖDERMANLANDS LÄN</t>
        </is>
      </c>
      <c r="G56" t="inlineStr">
        <is>
          <t>TROSA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11743-2024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46233</v>
      </c>
      <c r="F57" t="inlineStr">
        <is>
          <t>SÖDERMANLANDS LÄN</t>
        </is>
      </c>
      <c r="G57" t="inlineStr">
        <is>
          <t>TROSA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32213-2025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45835</v>
      </c>
      <c r="E58" s="1" t="n">
        <v>46233</v>
      </c>
      <c r="F58" t="inlineStr">
        <is>
          <t>SÖDERMANLANDS LÄN</t>
        </is>
      </c>
      <c r="G58" t="inlineStr">
        <is>
          <t>TROSA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31166-2025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46233</v>
      </c>
      <c r="F59" t="inlineStr">
        <is>
          <t>SÖDERMANLANDS LÄN</t>
        </is>
      </c>
      <c r="G59" t="inlineStr">
        <is>
          <t>TROSA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39827-2024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45553</v>
      </c>
      <c r="E60" s="1" t="n">
        <v>46233</v>
      </c>
      <c r="F60" t="inlineStr">
        <is>
          <t>SÖDERMANLANDS LÄN</t>
        </is>
      </c>
      <c r="G60" t="inlineStr">
        <is>
          <t>TROSA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20191-2026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46139</v>
      </c>
      <c r="E61" s="1" t="n">
        <v>46233</v>
      </c>
      <c r="F61" t="inlineStr">
        <is>
          <t>SÖDERMANLANDS LÄN</t>
        </is>
      </c>
      <c r="G61" t="inlineStr">
        <is>
          <t>TROSA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13675-2025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45736</v>
      </c>
      <c r="E62" s="1" t="n">
        <v>46233</v>
      </c>
      <c r="F62" t="inlineStr">
        <is>
          <t>SÖDERMANLANDS LÄN</t>
        </is>
      </c>
      <c r="G62" t="inlineStr">
        <is>
          <t>TROSA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46233</v>
      </c>
      <c r="F63" t="inlineStr">
        <is>
          <t>SÖDERMANLANDS LÄN</t>
        </is>
      </c>
      <c r="G63" t="inlineStr">
        <is>
          <t>TROSA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64286-2023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46233</v>
      </c>
      <c r="F64" t="inlineStr">
        <is>
          <t>SÖDERMANLANDS LÄN</t>
        </is>
      </c>
      <c r="G64" t="inlineStr">
        <is>
          <t>TROSA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11103-2026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46079</v>
      </c>
      <c r="E65" s="1" t="n">
        <v>46233</v>
      </c>
      <c r="F65" t="inlineStr">
        <is>
          <t>SÖDERMANLANDS LÄN</t>
        </is>
      </c>
      <c r="G65" t="inlineStr">
        <is>
          <t>TROSA</t>
        </is>
      </c>
      <c r="I65" t="n">
        <v>5.6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44579-2022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46233</v>
      </c>
      <c r="F66" t="inlineStr">
        <is>
          <t>SÖDERMANLANDS LÄN</t>
        </is>
      </c>
      <c r="G66" t="inlineStr">
        <is>
          <t>TROSA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17600-2022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44680</v>
      </c>
      <c r="E67" s="1" t="n">
        <v>46233</v>
      </c>
      <c r="F67" t="inlineStr">
        <is>
          <t>SÖDERMANLANDS LÄN</t>
        </is>
      </c>
      <c r="G67" t="inlineStr">
        <is>
          <t>TROSA</t>
        </is>
      </c>
      <c r="I67" t="n">
        <v>7.7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15169-2023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46233</v>
      </c>
      <c r="F68" t="inlineStr">
        <is>
          <t>SÖDERMANLANDS LÄN</t>
        </is>
      </c>
      <c r="G68" t="inlineStr">
        <is>
          <t>TROSA</t>
        </is>
      </c>
      <c r="H68" t="inlineStr">
        <is>
          <t>Holmen skog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36712-2024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45537</v>
      </c>
      <c r="E69" s="1" t="n">
        <v>46233</v>
      </c>
      <c r="F69" t="inlineStr">
        <is>
          <t>SÖDERMANLANDS LÄN</t>
        </is>
      </c>
      <c r="G69" t="inlineStr">
        <is>
          <t>TROSA</t>
        </is>
      </c>
      <c r="H69" t="inlineStr">
        <is>
          <t>Övriga Aktiebolag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45007</v>
      </c>
      <c r="E70" s="1" t="n">
        <v>46233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46233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46233</v>
      </c>
      <c r="F72" t="inlineStr">
        <is>
          <t>SÖDERMANLANDS LÄN</t>
        </is>
      </c>
      <c r="G72" t="inlineStr">
        <is>
          <t>TROSA</t>
        </is>
      </c>
      <c r="H72" t="inlineStr">
        <is>
          <t>Kommuner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46233</v>
      </c>
      <c r="F73" t="inlineStr">
        <is>
          <t>SÖDERMANLANDS LÄN</t>
        </is>
      </c>
      <c r="G73" t="inlineStr">
        <is>
          <t>TROSA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45019</v>
      </c>
      <c r="E74" s="1" t="n">
        <v>46233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46233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45370</v>
      </c>
      <c r="E76" s="1" t="n">
        <v>46233</v>
      </c>
      <c r="F76" t="inlineStr">
        <is>
          <t>SÖDERMANLANDS LÄN</t>
        </is>
      </c>
      <c r="G76" t="inlineStr">
        <is>
          <t>TROSA</t>
        </is>
      </c>
      <c r="I76" t="n">
        <v>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44756</v>
      </c>
      <c r="E77" s="1" t="n">
        <v>46233</v>
      </c>
      <c r="F77" t="inlineStr">
        <is>
          <t>SÖDERMANLANDS LÄN</t>
        </is>
      </c>
      <c r="G77" t="inlineStr">
        <is>
          <t>TROSA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46233</v>
      </c>
      <c r="F78" t="inlineStr">
        <is>
          <t>SÖDERMANLANDS LÄN</t>
        </is>
      </c>
      <c r="G78" t="inlineStr">
        <is>
          <t>TROSA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46233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46233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46233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46233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2026-07-30T01:51:06Z</dcterms:created>
  <dcterms:modified xmlns:dcterms="http://purl.org/dc/terms/" xmlns:xsi="http://www.w3.org/2001/XMLSchema-instance" xsi:type="dcterms:W3CDTF">2026-07-30T01:51:07Z</dcterms:modified>
</cp:coreProperties>
</file>