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46280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46280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46280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46280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46280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46280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46280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46280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46280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46280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46280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46280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46280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31394-2026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46280</v>
      </c>
      <c r="F16" t="inlineStr">
        <is>
          <t>SÖDERMANLANDS LÄN</t>
        </is>
      </c>
      <c r="G16" t="inlineStr">
        <is>
          <t>TROSA</t>
        </is>
      </c>
      <c r="I16" t="n">
        <v>8.6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Vedskivlav</t>
        </is>
      </c>
      <c r="W16">
        <f>HYPERLINK("https://klasma.github.io/Logging_0488/artfynd/A 31394-2026 artfynd.xlsx", "A 31394-2026")</f>
        <v/>
      </c>
      <c r="X16">
        <f>HYPERLINK("https://klasma.github.io/Logging_0488/kartor/A 31394-2026 karta.png", "A 31394-2026")</f>
        <v/>
      </c>
      <c r="Y16">
        <f>HYPERLINK("https://klasma.github.io/Logging_0488/kartor_geotiff/A 31394-2026 georefererad karta.tif", "A 31394-2026")</f>
        <v/>
      </c>
      <c r="AA16">
        <f>HYPERLINK("https://klasma.github.io/Logging_0488/klagomål/A 31394-2026 FSC-klagomål.docx", "A 31394-2026")</f>
        <v/>
      </c>
      <c r="AB16">
        <f>HYPERLINK("https://klasma.github.io/Logging_0488/klagomålsmail/A 31394-2026 FSC-klagomål mail.docx", "A 31394-2026")</f>
        <v/>
      </c>
      <c r="AC16">
        <f>HYPERLINK("https://klasma.github.io/Logging_0488/tillsyn/A 31394-2026 tillsynsbegäran.docx", "A 31394-2026")</f>
        <v/>
      </c>
      <c r="AD16">
        <f>HYPERLINK("https://klasma.github.io/Logging_0488/tillsynsmail/A 31394-2026 tillsynsbegäran mail.docx", "A 31394-2026")</f>
        <v/>
      </c>
    </row>
    <row r="17" ht="15" customHeight="1">
      <c r="A17" t="inlineStr">
        <is>
          <t>A 11123-2023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44986</v>
      </c>
      <c r="E17" s="1" t="n">
        <v>46280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statliga verk och myndigheter</t>
        </is>
      </c>
      <c r="I17" t="n">
        <v>9.4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HYPERLINK("https://klasma.github.io/Logging_0488/artfynd/A 11123-2023 artfynd.xlsx", "A 11123-2023")</f>
        <v/>
      </c>
      <c r="X17">
        <f>HYPERLINK("https://klasma.github.io/Logging_0488/kartor/A 11123-2023 karta.png", "A 11123-2023")</f>
        <v/>
      </c>
      <c r="Y17">
        <f>HYPERLINK("https://klasma.github.io/Logging_0488/kartor_geotiff/A 11123-2023 georefererad karta.tif", "A 11123-2023")</f>
        <v/>
      </c>
      <c r="AA17">
        <f>HYPERLINK("https://klasma.github.io/Logging_0488/klagomål/A 11123-2023 FSC-klagomål.docx", "A 11123-2023")</f>
        <v/>
      </c>
      <c r="AB17">
        <f>HYPERLINK("https://klasma.github.io/Logging_0488/klagomålsmail/A 11123-2023 FSC-klagomål mail.docx", "A 11123-2023")</f>
        <v/>
      </c>
      <c r="AC17">
        <f>HYPERLINK("https://klasma.github.io/Logging_0488/tillsyn/A 11123-2023 tillsynsbegäran.docx", "A 11123-2023")</f>
        <v/>
      </c>
      <c r="AD17">
        <f>HYPERLINK("https://klasma.github.io/Logging_0488/tillsynsmail/A 11123-2023 tillsynsbegäran mail.docx", "A 11123-2023")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46280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46280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46280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46280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46280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46280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46280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46280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46280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46280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46280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46280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46280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46280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46280</v>
      </c>
      <c r="F32" t="inlineStr">
        <is>
          <t>SÖDERMANLANDS LÄN</t>
        </is>
      </c>
      <c r="G32" t="inlineStr">
        <is>
          <t>TROSA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46280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46280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46280</v>
      </c>
      <c r="F35" t="inlineStr">
        <is>
          <t>SÖDERMANLANDS LÄN</t>
        </is>
      </c>
      <c r="G35" t="inlineStr">
        <is>
          <t>TROSA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46280</v>
      </c>
      <c r="F36" t="inlineStr">
        <is>
          <t>SÖDERMANLANDS LÄN</t>
        </is>
      </c>
      <c r="G36" t="inlineStr">
        <is>
          <t>TROSA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10393-2026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46077</v>
      </c>
      <c r="E37" s="1" t="n">
        <v>46280</v>
      </c>
      <c r="F37" t="inlineStr">
        <is>
          <t>SÖDERMANLANDS LÄN</t>
        </is>
      </c>
      <c r="G37" t="inlineStr">
        <is>
          <t>TROSA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46280</v>
      </c>
      <c r="F38" t="inlineStr">
        <is>
          <t>SÖDERMANLANDS LÄN</t>
        </is>
      </c>
      <c r="G38" t="inlineStr">
        <is>
          <t>TROSA</t>
        </is>
      </c>
      <c r="I38" t="n">
        <v>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46280</v>
      </c>
      <c r="F39" t="inlineStr">
        <is>
          <t>SÖDERMANLANDS LÄN</t>
        </is>
      </c>
      <c r="G39" t="inlineStr">
        <is>
          <t>TROSA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11039-2026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46280</v>
      </c>
      <c r="F40" t="inlineStr">
        <is>
          <t>SÖDERMANLANDS LÄN</t>
        </is>
      </c>
      <c r="G40" t="inlineStr">
        <is>
          <t>TROSA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11069-2026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46280</v>
      </c>
      <c r="F41" t="inlineStr">
        <is>
          <t>SÖDERMANLANDS LÄN</t>
        </is>
      </c>
      <c r="G41" t="inlineStr">
        <is>
          <t>TROSA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46280</v>
      </c>
      <c r="F42" t="inlineStr">
        <is>
          <t>SÖDERMANLANDS LÄN</t>
        </is>
      </c>
      <c r="G42" t="inlineStr">
        <is>
          <t>TROSA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44579-2022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46280</v>
      </c>
      <c r="F43" t="inlineStr">
        <is>
          <t>SÖDERMANLANDS LÄN</t>
        </is>
      </c>
      <c r="G43" t="inlineStr">
        <is>
          <t>TROSA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45019</v>
      </c>
      <c r="E44" s="1" t="n">
        <v>46280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12447-2024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46280</v>
      </c>
      <c r="F45" t="inlineStr">
        <is>
          <t>SÖDERMANLANDS LÄN</t>
        </is>
      </c>
      <c r="G45" t="inlineStr">
        <is>
          <t>TROSA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46280</v>
      </c>
      <c r="F46" t="inlineStr">
        <is>
          <t>SÖDERMANLANDS LÄN</t>
        </is>
      </c>
      <c r="G46" t="inlineStr">
        <is>
          <t>TROSA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46280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46280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46280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46280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46280</v>
      </c>
      <c r="F51" t="inlineStr">
        <is>
          <t>SÖDERMANLANDS LÄN</t>
        </is>
      </c>
      <c r="G51" t="inlineStr">
        <is>
          <t>TROSA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46280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46280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46280</v>
      </c>
      <c r="F54" t="inlineStr">
        <is>
          <t>SÖDERMANLANDS LÄN</t>
        </is>
      </c>
      <c r="G54" t="inlineStr">
        <is>
          <t>TROSA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46280</v>
      </c>
      <c r="F55" t="inlineStr">
        <is>
          <t>SÖDERMANLANDS LÄN</t>
        </is>
      </c>
      <c r="G55" t="inlineStr">
        <is>
          <t>TROSA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46280</v>
      </c>
      <c r="F56" t="inlineStr">
        <is>
          <t>SÖDERMANLANDS LÄN</t>
        </is>
      </c>
      <c r="G56" t="inlineStr">
        <is>
          <t>TROSA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36709-2024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46280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36711-2024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45537</v>
      </c>
      <c r="E58" s="1" t="n">
        <v>46280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46280</v>
      </c>
      <c r="F59" t="inlineStr">
        <is>
          <t>SÖDERMANLANDS LÄN</t>
        </is>
      </c>
      <c r="G59" t="inlineStr">
        <is>
          <t>TROSA</t>
        </is>
      </c>
      <c r="H59" t="inlineStr">
        <is>
          <t>Kommuner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44756</v>
      </c>
      <c r="E60" s="1" t="n">
        <v>46280</v>
      </c>
      <c r="F60" t="inlineStr">
        <is>
          <t>SÖDERMANLANDS LÄN</t>
        </is>
      </c>
      <c r="G60" t="inlineStr">
        <is>
          <t>TROSA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46280</v>
      </c>
      <c r="F61" t="inlineStr">
        <is>
          <t>SÖDERMANLANDS LÄN</t>
        </is>
      </c>
      <c r="G61" t="inlineStr">
        <is>
          <t>TROSA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46273</v>
      </c>
      <c r="E62" s="1" t="n">
        <v>46280</v>
      </c>
      <c r="F62" t="inlineStr">
        <is>
          <t>SÖDERMANLANDS LÄN</t>
        </is>
      </c>
      <c r="G62" t="inlineStr">
        <is>
          <t>TROSA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46280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45007</v>
      </c>
      <c r="E64" s="1" t="n">
        <v>46280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46280</v>
      </c>
      <c r="F65" t="inlineStr">
        <is>
          <t>SÖDERMANLANDS LÄN</t>
        </is>
      </c>
      <c r="G65" t="inlineStr">
        <is>
          <t>TROSA</t>
        </is>
      </c>
      <c r="H65" t="inlineStr">
        <is>
          <t>Holmen skog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44916</v>
      </c>
      <c r="E66" s="1" t="n">
        <v>46280</v>
      </c>
      <c r="F66" t="inlineStr">
        <is>
          <t>SÖDERMANLANDS LÄN</t>
        </is>
      </c>
      <c r="G66" t="inlineStr">
        <is>
          <t>TROSA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39827-2024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46280</v>
      </c>
      <c r="F67" t="inlineStr">
        <is>
          <t>SÖDERMANLANDS LÄN</t>
        </is>
      </c>
      <c r="G67" t="inlineStr">
        <is>
          <t>TROSA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44937</v>
      </c>
      <c r="E68" s="1" t="n">
        <v>46280</v>
      </c>
      <c r="F68" t="inlineStr">
        <is>
          <t>SÖDERMANLANDS LÄN</t>
        </is>
      </c>
      <c r="G68" t="inlineStr">
        <is>
          <t>TROSA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45344</v>
      </c>
      <c r="E69" s="1" t="n">
        <v>46280</v>
      </c>
      <c r="F69" t="inlineStr">
        <is>
          <t>SÖDERMANLANDS LÄN</t>
        </is>
      </c>
      <c r="G69" t="inlineStr">
        <is>
          <t>TROSA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45370</v>
      </c>
      <c r="E70" s="1" t="n">
        <v>46280</v>
      </c>
      <c r="F70" t="inlineStr">
        <is>
          <t>SÖDERMANLANDS LÄN</t>
        </is>
      </c>
      <c r="G70" t="inlineStr">
        <is>
          <t>TROSA</t>
        </is>
      </c>
      <c r="I70" t="n">
        <v>9.5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16029-2023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45027</v>
      </c>
      <c r="E71" s="1" t="n">
        <v>46280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46280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46280</v>
      </c>
      <c r="F73" t="inlineStr">
        <is>
          <t>SÖDERMANLANDS LÄN</t>
        </is>
      </c>
      <c r="G73" t="inlineStr">
        <is>
          <t>TROSA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13675-2025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46280</v>
      </c>
      <c r="F74" t="inlineStr">
        <is>
          <t>SÖDERMANLANDS LÄN</t>
        </is>
      </c>
      <c r="G74" t="inlineStr">
        <is>
          <t>TROSA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46280</v>
      </c>
      <c r="F75" t="inlineStr">
        <is>
          <t>SÖDERMANLANDS LÄN</t>
        </is>
      </c>
      <c r="G75" t="inlineStr">
        <is>
          <t>TROSA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46280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46280</v>
      </c>
      <c r="F77" t="inlineStr">
        <is>
          <t>SÖDERMANLANDS LÄN</t>
        </is>
      </c>
      <c r="G77" t="inlineStr">
        <is>
          <t>TROSA</t>
        </is>
      </c>
      <c r="H77" t="inlineStr">
        <is>
          <t>Övriga Aktiebolag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46280</v>
      </c>
      <c r="F78" t="inlineStr">
        <is>
          <t>SÖDERMANLANDS LÄN</t>
        </is>
      </c>
      <c r="G78" t="inlineStr">
        <is>
          <t>TROSA</t>
        </is>
      </c>
      <c r="H78" t="inlineStr">
        <is>
          <t>Holmen skog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46280</v>
      </c>
      <c r="F79" t="inlineStr">
        <is>
          <t>SÖDERMANLANDS LÄN</t>
        </is>
      </c>
      <c r="G79" t="inlineStr">
        <is>
          <t>TROSA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46280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46280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46280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2026-09-15T08:15:16Z</dcterms:created>
  <dcterms:modified xmlns:dcterms="http://purl.org/dc/terms/" xmlns:xsi="http://www.w3.org/2001/XMLSchema-instance" xsi:type="dcterms:W3CDTF">2026-09-15T08:15:16Z</dcterms:modified>
</cp:coreProperties>
</file>