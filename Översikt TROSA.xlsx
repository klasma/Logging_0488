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46192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46192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46192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46192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46192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46192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46192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57251-2025</t>
        </is>
      </c>
      <c r="B10" s="1" t="n">
        <v>45979</v>
      </c>
      <c r="C10" s="1" t="n">
        <v>46192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Aktiebolag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Flattoppad klubbsvamp</t>
        </is>
      </c>
      <c r="S10">
        <f>HYPERLINK("https://klasma.github.io/Logging_0488/artfynd/A 57251-2025 artfynd.xlsx", "A 57251-2025")</f>
        <v/>
      </c>
      <c r="T10">
        <f>HYPERLINK("https://klasma.github.io/Logging_0488/kartor/A 57251-2025 karta.png", "A 57251-2025")</f>
        <v/>
      </c>
      <c r="V10">
        <f>HYPERLINK("https://klasma.github.io/Logging_0488/klagomål/A 57251-2025 FSC-klagomål.docx", "A 57251-2025")</f>
        <v/>
      </c>
      <c r="W10">
        <f>HYPERLINK("https://klasma.github.io/Logging_0488/klagomålsmail/A 57251-2025 FSC-klagomål mail.docx", "A 57251-2025")</f>
        <v/>
      </c>
      <c r="X10">
        <f>HYPERLINK("https://klasma.github.io/Logging_0488/tillsyn/A 57251-2025 tillsynsbegäran.docx", "A 57251-2025")</f>
        <v/>
      </c>
      <c r="Y10">
        <f>HYPERLINK("https://klasma.github.io/Logging_0488/tillsynsmail/A 57251-2025 tillsynsbegäran mail.docx", "A 57251-2025")</f>
        <v/>
      </c>
    </row>
    <row r="11" ht="15" customHeight="1">
      <c r="A11" t="inlineStr">
        <is>
          <t>A 11066-2024</t>
        </is>
      </c>
      <c r="B11" s="1" t="n">
        <v>45370</v>
      </c>
      <c r="C11" s="1" t="n">
        <v>46192</v>
      </c>
      <c r="D11" t="inlineStr">
        <is>
          <t>SÖDERMANLANDS LÄN</t>
        </is>
      </c>
      <c r="E11" t="inlineStr">
        <is>
          <t>TROSA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Nötkråka</t>
        </is>
      </c>
      <c r="S11">
        <f>HYPERLINK("https://klasma.github.io/Logging_0488/artfynd/A 11066-2024 artfynd.xlsx", "A 11066-2024")</f>
        <v/>
      </c>
      <c r="T11">
        <f>HYPERLINK("https://klasma.github.io/Logging_0488/kartor/A 11066-2024 karta.png", "A 11066-2024")</f>
        <v/>
      </c>
      <c r="V11">
        <f>HYPERLINK("https://klasma.github.io/Logging_0488/klagomål/A 11066-2024 FSC-klagomål.docx", "A 11066-2024")</f>
        <v/>
      </c>
      <c r="W11">
        <f>HYPERLINK("https://klasma.github.io/Logging_0488/klagomålsmail/A 11066-2024 FSC-klagomål mail.docx", "A 11066-2024")</f>
        <v/>
      </c>
      <c r="X11">
        <f>HYPERLINK("https://klasma.github.io/Logging_0488/tillsyn/A 11066-2024 tillsynsbegäran.docx", "A 11066-2024")</f>
        <v/>
      </c>
      <c r="Y11">
        <f>HYPERLINK("https://klasma.github.io/Logging_0488/tillsynsmail/A 11066-2024 tillsynsbegäran mail.docx", "A 11066-2024")</f>
        <v/>
      </c>
    </row>
    <row r="12" ht="15" customHeight="1">
      <c r="A12" t="inlineStr">
        <is>
          <t>A 57004-2023</t>
        </is>
      </c>
      <c r="B12" s="1" t="n">
        <v>45244</v>
      </c>
      <c r="C12" s="1" t="n">
        <v>46192</v>
      </c>
      <c r="D12" t="inlineStr">
        <is>
          <t>SÖDERMANLANDS LÄN</t>
        </is>
      </c>
      <c r="E12" t="inlineStr">
        <is>
          <t>TROSA</t>
        </is>
      </c>
      <c r="F12" t="inlineStr">
        <is>
          <t>Kommuner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HYPERLINK("https://klasma.github.io/Logging_0488/artfynd/A 57004-2023 artfynd.xlsx", "A 57004-2023")</f>
        <v/>
      </c>
      <c r="T12">
        <f>HYPERLINK("https://klasma.github.io/Logging_0488/kartor/A 57004-2023 karta.png", "A 57004-2023")</f>
        <v/>
      </c>
      <c r="V12">
        <f>HYPERLINK("https://klasma.github.io/Logging_0488/klagomål/A 57004-2023 FSC-klagomål.docx", "A 57004-2023")</f>
        <v/>
      </c>
      <c r="W12">
        <f>HYPERLINK("https://klasma.github.io/Logging_0488/klagomålsmail/A 57004-2023 FSC-klagomål mail.docx", "A 57004-2023")</f>
        <v/>
      </c>
      <c r="X12">
        <f>HYPERLINK("https://klasma.github.io/Logging_0488/tillsyn/A 57004-2023 tillsynsbegäran.docx", "A 57004-2023")</f>
        <v/>
      </c>
      <c r="Y12">
        <f>HYPERLINK("https://klasma.github.io/Logging_0488/tillsynsmail/A 57004-2023 tillsynsbegäran mail.docx", "A 57004-2023")</f>
        <v/>
      </c>
      <c r="Z12">
        <f>HYPERLINK("https://klasma.github.io/Logging_0488/fåglar/A 57004-2023 prioriterade fågelarter.docx", "A 57004-2023")</f>
        <v/>
      </c>
    </row>
    <row r="13" ht="15" customHeight="1">
      <c r="A13" t="inlineStr">
        <is>
          <t>A 10390-2026</t>
        </is>
      </c>
      <c r="B13" s="1" t="n">
        <v>46077</v>
      </c>
      <c r="C13" s="1" t="n">
        <v>46192</v>
      </c>
      <c r="D13" t="inlineStr">
        <is>
          <t>SÖDERMANLANDS LÄN</t>
        </is>
      </c>
      <c r="E13" t="inlineStr">
        <is>
          <t>TROSA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HYPERLINK("https://klasma.github.io/Logging_0488/artfynd/A 10390-2026 artfynd.xlsx", "A 10390-2026")</f>
        <v/>
      </c>
      <c r="T13">
        <f>HYPERLINK("https://klasma.github.io/Logging_0488/kartor/A 10390-2026 karta.png", "A 10390-2026")</f>
        <v/>
      </c>
      <c r="V13">
        <f>HYPERLINK("https://klasma.github.io/Logging_0488/klagomål/A 10390-2026 FSC-klagomål.docx", "A 10390-2026")</f>
        <v/>
      </c>
      <c r="W13">
        <f>HYPERLINK("https://klasma.github.io/Logging_0488/klagomålsmail/A 10390-2026 FSC-klagomål mail.docx", "A 10390-2026")</f>
        <v/>
      </c>
      <c r="X13">
        <f>HYPERLINK("https://klasma.github.io/Logging_0488/tillsyn/A 10390-2026 tillsynsbegäran.docx", "A 10390-2026")</f>
        <v/>
      </c>
      <c r="Y13">
        <f>HYPERLINK("https://klasma.github.io/Logging_0488/tillsynsmail/A 10390-2026 tillsynsbegäran mail.docx", "A 10390-2026")</f>
        <v/>
      </c>
    </row>
    <row r="14" ht="15" customHeight="1">
      <c r="A14" t="inlineStr">
        <is>
          <t>A 56117-2022</t>
        </is>
      </c>
      <c r="B14" s="1" t="n">
        <v>44889</v>
      </c>
      <c r="C14" s="1" t="n">
        <v>46192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Älg</t>
        </is>
      </c>
      <c r="S14">
        <f>HYPERLINK("https://klasma.github.io/Logging_0488/artfynd/A 56117-2022 artfynd.xlsx", "A 56117-2022")</f>
        <v/>
      </c>
      <c r="T14">
        <f>HYPERLINK("https://klasma.github.io/Logging_0488/kartor/A 56117-2022 karta.png", "A 56117-2022")</f>
        <v/>
      </c>
      <c r="V14">
        <f>HYPERLINK("https://klasma.github.io/Logging_0488/klagomål/A 56117-2022 FSC-klagomål.docx", "A 56117-2022")</f>
        <v/>
      </c>
      <c r="W14">
        <f>HYPERLINK("https://klasma.github.io/Logging_0488/klagomålsmail/A 56117-2022 FSC-klagomål mail.docx", "A 56117-2022")</f>
        <v/>
      </c>
      <c r="X14">
        <f>HYPERLINK("https://klasma.github.io/Logging_0488/tillsyn/A 56117-2022 tillsynsbegäran.docx", "A 56117-2022")</f>
        <v/>
      </c>
      <c r="Y14">
        <f>HYPERLINK("https://klasma.github.io/Logging_0488/tillsynsmail/A 56117-2022 tillsynsbegäran mail.docx", "A 56117-2022")</f>
        <v/>
      </c>
    </row>
    <row r="15" ht="15" customHeight="1">
      <c r="A15" t="inlineStr">
        <is>
          <t>A 11123-2023</t>
        </is>
      </c>
      <c r="B15" s="1" t="n">
        <v>44986</v>
      </c>
      <c r="C15" s="1" t="n">
        <v>46192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HYPERLINK("https://klasma.github.io/Logging_0488/artfynd/A 11123-2023 artfynd.xlsx", "A 11123-2023")</f>
        <v/>
      </c>
      <c r="T15">
        <f>HYPERLINK("https://klasma.github.io/Logging_0488/kartor/A 11123-2023 karta.png", "A 11123-2023")</f>
        <v/>
      </c>
      <c r="V15">
        <f>HYPERLINK("https://klasma.github.io/Logging_0488/klagomål/A 11123-2023 FSC-klagomål.docx", "A 11123-2023")</f>
        <v/>
      </c>
      <c r="W15">
        <f>HYPERLINK("https://klasma.github.io/Logging_0488/klagomålsmail/A 11123-2023 FSC-klagomål mail.docx", "A 11123-2023")</f>
        <v/>
      </c>
      <c r="X15">
        <f>HYPERLINK("https://klasma.github.io/Logging_0488/tillsyn/A 11123-2023 tillsynsbegäran.docx", "A 11123-2023")</f>
        <v/>
      </c>
      <c r="Y15">
        <f>HYPERLINK("https://klasma.github.io/Logging_0488/tillsynsmail/A 11123-2023 tillsynsbegäran mail.docx", "A 11123-2023")</f>
        <v/>
      </c>
      <c r="Z15">
        <f>HYPERLINK("https://klasma.github.io/Logging_0488/fåglar/A 11123-2023 prioriterade fågelarter.docx", "A 11123-2023")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46192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46192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46192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46192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6124-2022</t>
        </is>
      </c>
      <c r="B25" s="1" t="n">
        <v>44599</v>
      </c>
      <c r="C25" s="1" t="n">
        <v>46192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62473-2022</t>
        </is>
      </c>
      <c r="B26" s="1" t="n">
        <v>44916</v>
      </c>
      <c r="C26" s="1" t="n">
        <v>46192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36710-2024</t>
        </is>
      </c>
      <c r="B27" s="1" t="n">
        <v>45537</v>
      </c>
      <c r="C27" s="1" t="n">
        <v>46192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39827-2024</t>
        </is>
      </c>
      <c r="B28" s="1" t="n">
        <v>45553</v>
      </c>
      <c r="C28" s="1" t="n">
        <v>46192</v>
      </c>
      <c r="D28" t="inlineStr">
        <is>
          <t>SÖDERMANLANDS LÄN</t>
        </is>
      </c>
      <c r="E28" t="inlineStr">
        <is>
          <t>TROSA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40169-2021</t>
        </is>
      </c>
      <c r="B29" s="1" t="n">
        <v>44418</v>
      </c>
      <c r="C29" s="1" t="n">
        <v>46192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</v>
      </c>
      <c r="C30" s="1" t="n">
        <v>46192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46192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7204-2024</t>
        </is>
      </c>
      <c r="B32" s="1" t="n">
        <v>45344</v>
      </c>
      <c r="C32" s="1" t="n">
        <v>46192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6102-2022</t>
        </is>
      </c>
      <c r="B33" s="1" t="n">
        <v>44599</v>
      </c>
      <c r="C33" s="1" t="n">
        <v>46192</v>
      </c>
      <c r="D33" t="inlineStr">
        <is>
          <t>SÖDERMANLANDS LÄN</t>
        </is>
      </c>
      <c r="E33" t="inlineStr">
        <is>
          <t>TROSA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48314-2025</t>
        </is>
      </c>
      <c r="B34" s="1" t="n">
        <v>45933</v>
      </c>
      <c r="C34" s="1" t="n">
        <v>46192</v>
      </c>
      <c r="D34" t="inlineStr">
        <is>
          <t>SÖDERMANLANDS LÄN</t>
        </is>
      </c>
      <c r="E34" t="inlineStr">
        <is>
          <t>TROSA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10998-2024</t>
        </is>
      </c>
      <c r="B35" s="1" t="n">
        <v>45370</v>
      </c>
      <c r="C35" s="1" t="n">
        <v>46192</v>
      </c>
      <c r="D35" t="inlineStr">
        <is>
          <t>SÖDERMANLANDS LÄN</t>
        </is>
      </c>
      <c r="E35" t="inlineStr">
        <is>
          <t>TROSA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46192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11742-2024</t>
        </is>
      </c>
      <c r="B37" s="1" t="n">
        <v>45373</v>
      </c>
      <c r="C37" s="1" t="n">
        <v>46192</v>
      </c>
      <c r="D37" t="inlineStr">
        <is>
          <t>SÖDERMANLANDS LÄN</t>
        </is>
      </c>
      <c r="E37" t="inlineStr">
        <is>
          <t>TROSA</t>
        </is>
      </c>
      <c r="F37" t="inlineStr">
        <is>
          <t>Kommuner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11743-2024</t>
        </is>
      </c>
      <c r="B38" s="1" t="n">
        <v>45373</v>
      </c>
      <c r="C38" s="1" t="n">
        <v>46192</v>
      </c>
      <c r="D38" t="inlineStr">
        <is>
          <t>SÖDERMANLANDS LÄN</t>
        </is>
      </c>
      <c r="E38" t="inlineStr">
        <is>
          <t>TROSA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44720-2022</t>
        </is>
      </c>
      <c r="B39" s="1" t="n">
        <v>44840</v>
      </c>
      <c r="C39" s="1" t="n">
        <v>46192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</v>
      </c>
      <c r="C40" s="1" t="n">
        <v>46192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</v>
      </c>
      <c r="C41" s="1" t="n">
        <v>46192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57342-2025</t>
        </is>
      </c>
      <c r="B42" s="1" t="n">
        <v>45979</v>
      </c>
      <c r="C42" s="1" t="n">
        <v>46192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57338-2025</t>
        </is>
      </c>
      <c r="B43" s="1" t="n">
        <v>45979</v>
      </c>
      <c r="C43" s="1" t="n">
        <v>46192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57344-2025</t>
        </is>
      </c>
      <c r="B44" s="1" t="n">
        <v>45979</v>
      </c>
      <c r="C44" s="1" t="n">
        <v>46192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59222-2025</t>
        </is>
      </c>
      <c r="B45" s="1" t="n">
        <v>45988</v>
      </c>
      <c r="C45" s="1" t="n">
        <v>46192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13675-2025</t>
        </is>
      </c>
      <c r="B46" s="1" t="n">
        <v>45736</v>
      </c>
      <c r="C46" s="1" t="n">
        <v>46192</v>
      </c>
      <c r="D46" t="inlineStr">
        <is>
          <t>SÖDERMANLANDS LÄN</t>
        </is>
      </c>
      <c r="E46" t="inlineStr">
        <is>
          <t>TROSA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64286-2023</t>
        </is>
      </c>
      <c r="B47" s="1" t="n">
        <v>45280</v>
      </c>
      <c r="C47" s="1" t="n">
        <v>46192</v>
      </c>
      <c r="D47" t="inlineStr">
        <is>
          <t>SÖDERMANLANDS LÄN</t>
        </is>
      </c>
      <c r="E47" t="inlineStr">
        <is>
          <t>TROSA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15169-2023</t>
        </is>
      </c>
      <c r="B48" s="1" t="n">
        <v>45016</v>
      </c>
      <c r="C48" s="1" t="n">
        <v>46192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44579-2022</t>
        </is>
      </c>
      <c r="B49" s="1" t="n">
        <v>44840</v>
      </c>
      <c r="C49" s="1" t="n">
        <v>46192</v>
      </c>
      <c r="D49" t="inlineStr">
        <is>
          <t>SÖDERMANLANDS LÄN</t>
        </is>
      </c>
      <c r="E49" t="inlineStr">
        <is>
          <t>TROSA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15293-2023</t>
        </is>
      </c>
      <c r="B50" s="1" t="n">
        <v>45019</v>
      </c>
      <c r="C50" s="1" t="n">
        <v>46192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</v>
      </c>
      <c r="C51" s="1" t="n">
        <v>46192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17600-2022</t>
        </is>
      </c>
      <c r="B52" s="1" t="n">
        <v>44680</v>
      </c>
      <c r="C52" s="1" t="n">
        <v>46192</v>
      </c>
      <c r="D52" t="inlineStr">
        <is>
          <t>SÖDERMANLANDS LÄN</t>
        </is>
      </c>
      <c r="E52" t="inlineStr">
        <is>
          <t>TROSA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3337-2026</t>
        </is>
      </c>
      <c r="B53" s="1" t="n">
        <v>46041</v>
      </c>
      <c r="C53" s="1" t="n">
        <v>46192</v>
      </c>
      <c r="D53" t="inlineStr">
        <is>
          <t>SÖDERMANLANDS LÄN</t>
        </is>
      </c>
      <c r="E53" t="inlineStr">
        <is>
          <t>TROSA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3346-2026</t>
        </is>
      </c>
      <c r="B54" s="1" t="n">
        <v>46041</v>
      </c>
      <c r="C54" s="1" t="n">
        <v>46192</v>
      </c>
      <c r="D54" t="inlineStr">
        <is>
          <t>SÖDERMANLANDS LÄN</t>
        </is>
      </c>
      <c r="E54" t="inlineStr">
        <is>
          <t>TROSA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36712-2024</t>
        </is>
      </c>
      <c r="B55" s="1" t="n">
        <v>45537</v>
      </c>
      <c r="C55" s="1" t="n">
        <v>46192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13829-2023</t>
        </is>
      </c>
      <c r="B56" s="1" t="n">
        <v>45007</v>
      </c>
      <c r="C56" s="1" t="n">
        <v>46192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1431-2023</t>
        </is>
      </c>
      <c r="B57" s="1" t="n">
        <v>44937</v>
      </c>
      <c r="C57" s="1" t="n">
        <v>46192</v>
      </c>
      <c r="D57" t="inlineStr">
        <is>
          <t>SÖDERMANLANDS LÄN</t>
        </is>
      </c>
      <c r="E57" t="inlineStr">
        <is>
          <t>TROSA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46192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</v>
      </c>
      <c r="C59" s="1" t="n">
        <v>46192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11119-2026</t>
        </is>
      </c>
      <c r="B60" s="1" t="n">
        <v>46079</v>
      </c>
      <c r="C60" s="1" t="n">
        <v>46192</v>
      </c>
      <c r="D60" t="inlineStr">
        <is>
          <t>SÖDERMANLANDS LÄN</t>
        </is>
      </c>
      <c r="E60" t="inlineStr">
        <is>
          <t>TROSA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11103-2026</t>
        </is>
      </c>
      <c r="B61" s="1" t="n">
        <v>46079</v>
      </c>
      <c r="C61" s="1" t="n">
        <v>46192</v>
      </c>
      <c r="D61" t="inlineStr">
        <is>
          <t>SÖDERMANLANDS LÄN</t>
        </is>
      </c>
      <c r="E61" t="inlineStr">
        <is>
          <t>TROSA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11083-2026</t>
        </is>
      </c>
      <c r="B62" s="1" t="n">
        <v>46079</v>
      </c>
      <c r="C62" s="1" t="n">
        <v>46192</v>
      </c>
      <c r="D62" t="inlineStr">
        <is>
          <t>SÖDERMANLANDS LÄN</t>
        </is>
      </c>
      <c r="E62" t="inlineStr">
        <is>
          <t>TROSA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11039-2026</t>
        </is>
      </c>
      <c r="B63" s="1" t="n">
        <v>46079</v>
      </c>
      <c r="C63" s="1" t="n">
        <v>46192</v>
      </c>
      <c r="D63" t="inlineStr">
        <is>
          <t>SÖDERMANLANDS LÄN</t>
        </is>
      </c>
      <c r="E63" t="inlineStr">
        <is>
          <t>TROSA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11069-2026</t>
        </is>
      </c>
      <c r="B64" s="1" t="n">
        <v>46079</v>
      </c>
      <c r="C64" s="1" t="n">
        <v>46192</v>
      </c>
      <c r="D64" t="inlineStr">
        <is>
          <t>SÖDERMANLANDS LÄN</t>
        </is>
      </c>
      <c r="E64" t="inlineStr">
        <is>
          <t>TROSA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12574-2026</t>
        </is>
      </c>
      <c r="B65" s="1" t="n">
        <v>46090</v>
      </c>
      <c r="C65" s="1" t="n">
        <v>46192</v>
      </c>
      <c r="D65" t="inlineStr">
        <is>
          <t>SÖDERMANLANDS LÄN</t>
        </is>
      </c>
      <c r="E65" t="inlineStr">
        <is>
          <t>TROSA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35054-2024</t>
        </is>
      </c>
      <c r="B66" s="1" t="n">
        <v>45527</v>
      </c>
      <c r="C66" s="1" t="n">
        <v>46192</v>
      </c>
      <c r="D66" t="inlineStr">
        <is>
          <t>SÖDERMANLANDS LÄN</t>
        </is>
      </c>
      <c r="E66" t="inlineStr">
        <is>
          <t>TROSA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36709-2024</t>
        </is>
      </c>
      <c r="B67" s="1" t="n">
        <v>45537</v>
      </c>
      <c r="C67" s="1" t="n">
        <v>46192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36711-2024</t>
        </is>
      </c>
      <c r="B68" s="1" t="n">
        <v>45537</v>
      </c>
      <c r="C68" s="1" t="n">
        <v>46192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11740-2024</t>
        </is>
      </c>
      <c r="B69" s="1" t="n">
        <v>45373</v>
      </c>
      <c r="C69" s="1" t="n">
        <v>46192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29930-2022</t>
        </is>
      </c>
      <c r="B70" s="1" t="n">
        <v>44756</v>
      </c>
      <c r="C70" s="1" t="n">
        <v>46192</v>
      </c>
      <c r="D70" t="inlineStr">
        <is>
          <t>SÖDERMANLANDS LÄN</t>
        </is>
      </c>
      <c r="E70" t="inlineStr">
        <is>
          <t>TROSA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35058-2024</t>
        </is>
      </c>
      <c r="B71" s="1" t="n">
        <v>45527</v>
      </c>
      <c r="C71" s="1" t="n">
        <v>46192</v>
      </c>
      <c r="D71" t="inlineStr">
        <is>
          <t>SÖDERMANLANDS LÄN</t>
        </is>
      </c>
      <c r="E71" t="inlineStr">
        <is>
          <t>TROSA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20191-2026</t>
        </is>
      </c>
      <c r="B72" s="1" t="n">
        <v>46139</v>
      </c>
      <c r="C72" s="1" t="n">
        <v>46192</v>
      </c>
      <c r="D72" t="inlineStr">
        <is>
          <t>SÖDERMANLANDS LÄN</t>
        </is>
      </c>
      <c r="E72" t="inlineStr">
        <is>
          <t>TROSA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62474-2022</t>
        </is>
      </c>
      <c r="B73" s="1" t="n">
        <v>44916</v>
      </c>
      <c r="C73" s="1" t="n">
        <v>46192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</v>
      </c>
      <c r="C74" s="1" t="n">
        <v>46192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13810-2023</t>
        </is>
      </c>
      <c r="B75" s="1" t="n">
        <v>45007</v>
      </c>
      <c r="C75" s="1" t="n">
        <v>46192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</v>
      </c>
      <c r="C76" s="1" t="n">
        <v>46192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2026-06-19T00:46:58Z</dcterms:created>
  <dcterms:modified xmlns:dcterms="http://purl.org/dc/terms/" xmlns:xsi="http://www.w3.org/2001/XMLSchema-instance" xsi:type="dcterms:W3CDTF">2026-06-19T00:46:59Z</dcterms:modified>
</cp:coreProperties>
</file>