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46220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s="2" t="inlineStr">
        <is>
          <t>Ask
Ekticka
Lunglav
Sårläka
Bolmörtsskivling
Fällmossa
Guldlockmossa
Gulvaxing
Svart trolldruva
Blåsippa</t>
        </is>
      </c>
      <c r="V2">
        <f>HYPERLINK("https://klasma.github.io/Logging_0488/artfynd/S 2707-2025 artfynd.xlsx", "S 2707-2025")</f>
        <v/>
      </c>
      <c r="W2">
        <f>HYPERLINK("https://klasma.github.io/Logging_0488/kartor/S 2707-2025 karta.png", "S 2707-2025")</f>
        <v/>
      </c>
      <c r="Y2">
        <f>HYPERLINK("https://klasma.github.io/Logging_0488/klagomål/S 2707-2025 FSC-klagomål.docx", "S 2707-2025")</f>
        <v/>
      </c>
      <c r="Z2">
        <f>HYPERLINK("https://klasma.github.io/Logging_0488/klagomålsmail/S 2707-2025 FSC-klagomål mail.docx", "S 2707-2025")</f>
        <v/>
      </c>
      <c r="AA2">
        <f>HYPERLINK("https://klasma.github.io/Logging_0488/tillsyn/S 2707-2025 tillsynsbegäran.docx", "S 2707-2025")</f>
        <v/>
      </c>
      <c r="AB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46220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s="2" t="inlineStr">
        <is>
          <t>Kricka
Svart skogssnigel
Korallrot
Svavelriska
Mattlummer
Havsörn
Fläcknycklar</t>
        </is>
      </c>
      <c r="V3">
        <f>HYPERLINK("https://klasma.github.io/Logging_0488/artfynd/A 48791-2024 artfynd.xlsx", "A 48791-2024")</f>
        <v/>
      </c>
      <c r="W3">
        <f>HYPERLINK("https://klasma.github.io/Logging_0488/kartor/A 48791-2024 karta.png", "A 48791-2024")</f>
        <v/>
      </c>
      <c r="Y3">
        <f>HYPERLINK("https://klasma.github.io/Logging_0488/klagomål/A 48791-2024 FSC-klagomål.docx", "A 48791-2024")</f>
        <v/>
      </c>
      <c r="Z3">
        <f>HYPERLINK("https://klasma.github.io/Logging_0488/klagomålsmail/A 48791-2024 FSC-klagomål mail.docx", "A 48791-2024")</f>
        <v/>
      </c>
      <c r="AA3">
        <f>HYPERLINK("https://klasma.github.io/Logging_0488/tillsyn/A 48791-2024 tillsynsbegäran.docx", "A 48791-2024")</f>
        <v/>
      </c>
      <c r="AB3">
        <f>HYPERLINK("https://klasma.github.io/Logging_0488/tillsynsmail/A 48791-2024 tillsynsbegäran mail.docx", "A 48791-2024")</f>
        <v/>
      </c>
      <c r="AC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46220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s="2" t="inlineStr">
        <is>
          <t>Gullpudra
Kricka
Älg
Stubbspretmossa
Spillkråka
Kungsfågel</t>
        </is>
      </c>
      <c r="V4">
        <f>HYPERLINK("https://klasma.github.io/Logging_0488/artfynd/A 53869-2024 artfynd.xlsx", "A 53869-2024")</f>
        <v/>
      </c>
      <c r="W4">
        <f>HYPERLINK("https://klasma.github.io/Logging_0488/kartor/A 53869-2024 karta.png", "A 53869-2024")</f>
        <v/>
      </c>
      <c r="Y4">
        <f>HYPERLINK("https://klasma.github.io/Logging_0488/klagomål/A 53869-2024 FSC-klagomål.docx", "A 53869-2024")</f>
        <v/>
      </c>
      <c r="Z4">
        <f>HYPERLINK("https://klasma.github.io/Logging_0488/klagomålsmail/A 53869-2024 FSC-klagomål mail.docx", "A 53869-2024")</f>
        <v/>
      </c>
      <c r="AA4">
        <f>HYPERLINK("https://klasma.github.io/Logging_0488/tillsyn/A 53869-2024 tillsynsbegäran.docx", "A 53869-2024")</f>
        <v/>
      </c>
      <c r="AB4">
        <f>HYPERLINK("https://klasma.github.io/Logging_0488/tillsynsmail/A 53869-2024 tillsynsbegäran mail.docx", "A 53869-2024")</f>
        <v/>
      </c>
      <c r="AC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46220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Ask
Tofsvipa
Gullpudra
Kricka
Strutbräken
Sångsvan</t>
        </is>
      </c>
      <c r="V5">
        <f>HYPERLINK("https://klasma.github.io/Logging_0488/artfynd/A 13760-2022 artfynd.xlsx", "A 13760-2022")</f>
        <v/>
      </c>
      <c r="W5">
        <f>HYPERLINK("https://klasma.github.io/Logging_0488/kartor/A 13760-2022 karta.png", "A 13760-2022")</f>
        <v/>
      </c>
      <c r="Y5">
        <f>HYPERLINK("https://klasma.github.io/Logging_0488/klagomål/A 13760-2022 FSC-klagomål.docx", "A 13760-2022")</f>
        <v/>
      </c>
      <c r="Z5">
        <f>HYPERLINK("https://klasma.github.io/Logging_0488/klagomålsmail/A 13760-2022 FSC-klagomål mail.docx", "A 13760-2022")</f>
        <v/>
      </c>
      <c r="AA5">
        <f>HYPERLINK("https://klasma.github.io/Logging_0488/tillsyn/A 13760-2022 tillsynsbegäran.docx", "A 13760-2022")</f>
        <v/>
      </c>
      <c r="AB5">
        <f>HYPERLINK("https://klasma.github.io/Logging_0488/tillsynsmail/A 13760-2022 tillsynsbegäran mail.docx", "A 13760-2022")</f>
        <v/>
      </c>
      <c r="AC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46220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Ask
Vårärt
Brun nållav
Näktergal
Ärtsångare</t>
        </is>
      </c>
      <c r="V6">
        <f>HYPERLINK("https://klasma.github.io/Logging_0488/artfynd/S 2560-2023 artfynd.xlsx", "S 2560-2023")</f>
        <v/>
      </c>
      <c r="W6">
        <f>HYPERLINK("https://klasma.github.io/Logging_0488/kartor/S 2560-2023 karta.png", "S 2560-2023")</f>
        <v/>
      </c>
      <c r="Y6">
        <f>HYPERLINK("https://klasma.github.io/Logging_0488/klagomål/S 2560-2023 FSC-klagomål.docx", "S 2560-2023")</f>
        <v/>
      </c>
      <c r="Z6">
        <f>HYPERLINK("https://klasma.github.io/Logging_0488/klagomålsmail/S 2560-2023 FSC-klagomål mail.docx", "S 2560-2023")</f>
        <v/>
      </c>
      <c r="AA6">
        <f>HYPERLINK("https://klasma.github.io/Logging_0488/tillsyn/S 2560-2023 tillsynsbegäran.docx", "S 2560-2023")</f>
        <v/>
      </c>
      <c r="AB6">
        <f>HYPERLINK("https://klasma.github.io/Logging_0488/tillsynsmail/S 2560-2023 tillsynsbegäran mail.docx", "S 2560-2023")</f>
        <v/>
      </c>
      <c r="AC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46220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s="2" t="inlineStr">
        <is>
          <t>Bredbrämad bastardsvärmare
Gråtrut
Vitfläckig guldvinge</t>
        </is>
      </c>
      <c r="V7">
        <f>HYPERLINK("https://klasma.github.io/Logging_0488/artfynd/A 63029-2021 artfynd.xlsx", "A 63029-2021")</f>
        <v/>
      </c>
      <c r="W7">
        <f>HYPERLINK("https://klasma.github.io/Logging_0488/kartor/A 63029-2021 karta.png", "A 63029-2021")</f>
        <v/>
      </c>
      <c r="Y7">
        <f>HYPERLINK("https://klasma.github.io/Logging_0488/klagomål/A 63029-2021 FSC-klagomål.docx", "A 63029-2021")</f>
        <v/>
      </c>
      <c r="Z7">
        <f>HYPERLINK("https://klasma.github.io/Logging_0488/klagomålsmail/A 63029-2021 FSC-klagomål mail.docx", "A 63029-2021")</f>
        <v/>
      </c>
      <c r="AA7">
        <f>HYPERLINK("https://klasma.github.io/Logging_0488/tillsyn/A 63029-2021 tillsynsbegäran.docx", "A 63029-2021")</f>
        <v/>
      </c>
      <c r="AB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46220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Järnsparv
Svart trolldruva
Trana</t>
        </is>
      </c>
      <c r="V8">
        <f>HYPERLINK("https://klasma.github.io/Logging_0488/artfynd/A 2699-2023 artfynd.xlsx", "A 2699-2023")</f>
        <v/>
      </c>
      <c r="W8">
        <f>HYPERLINK("https://klasma.github.io/Logging_0488/kartor/A 2699-2023 karta.png", "A 2699-2023")</f>
        <v/>
      </c>
      <c r="Y8">
        <f>HYPERLINK("https://klasma.github.io/Logging_0488/klagomål/A 2699-2023 FSC-klagomål.docx", "A 2699-2023")</f>
        <v/>
      </c>
      <c r="Z8">
        <f>HYPERLINK("https://klasma.github.io/Logging_0488/klagomålsmail/A 2699-2023 FSC-klagomål mail.docx", "A 2699-2023")</f>
        <v/>
      </c>
      <c r="AA8">
        <f>HYPERLINK("https://klasma.github.io/Logging_0488/tillsyn/A 2699-2023 tillsynsbegäran.docx", "A 2699-2023")</f>
        <v/>
      </c>
      <c r="AB8">
        <f>HYPERLINK("https://klasma.github.io/Logging_0488/tillsynsmail/A 2699-2023 tillsynsbegäran mail.docx", "A 2699-2023")</f>
        <v/>
      </c>
      <c r="AC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46220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s="2" t="inlineStr">
        <is>
          <t>Tallticka
Talltita
Älg</t>
        </is>
      </c>
      <c r="V9">
        <f>HYPERLINK("https://klasma.github.io/Logging_0488/artfynd/S 4519-2023 artfynd.xlsx", "S 4519-2023")</f>
        <v/>
      </c>
      <c r="W9">
        <f>HYPERLINK("https://klasma.github.io/Logging_0488/kartor/S 4519-2023 karta.png", "S 4519-2023")</f>
        <v/>
      </c>
      <c r="Y9">
        <f>HYPERLINK("https://klasma.github.io/Logging_0488/klagomål/S 4519-2023 FSC-klagomål.docx", "S 4519-2023")</f>
        <v/>
      </c>
      <c r="Z9">
        <f>HYPERLINK("https://klasma.github.io/Logging_0488/klagomålsmail/S 4519-2023 FSC-klagomål mail.docx", "S 4519-2023")</f>
        <v/>
      </c>
      <c r="AA9">
        <f>HYPERLINK("https://klasma.github.io/Logging_0488/tillsyn/S 4519-2023 tillsynsbegäran.docx", "S 4519-2023")</f>
        <v/>
      </c>
      <c r="AB9">
        <f>HYPERLINK("https://klasma.github.io/Logging_0488/tillsynsmail/S 4519-2023 tillsynsbegäran mail.docx", "S 4519-2023")</f>
        <v/>
      </c>
      <c r="AC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46220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Enkelbeckasin
Grön sköldmossa</t>
        </is>
      </c>
      <c r="V10">
        <f>HYPERLINK("https://klasma.github.io/Logging_0488/artfynd/A 11736-2024 artfynd.xlsx", "A 11736-2024")</f>
        <v/>
      </c>
      <c r="W10">
        <f>HYPERLINK("https://klasma.github.io/Logging_0488/kartor/A 11736-2024 karta.png", "A 11736-2024")</f>
        <v/>
      </c>
      <c r="Y10">
        <f>HYPERLINK("https://klasma.github.io/Logging_0488/klagomål/A 11736-2024 FSC-klagomål.docx", "A 11736-2024")</f>
        <v/>
      </c>
      <c r="Z10">
        <f>HYPERLINK("https://klasma.github.io/Logging_0488/klagomålsmail/A 11736-2024 FSC-klagomål mail.docx", "A 11736-2024")</f>
        <v/>
      </c>
      <c r="AA10">
        <f>HYPERLINK("https://klasma.github.io/Logging_0488/tillsyn/A 11736-2024 tillsynsbegäran.docx", "A 11736-2024")</f>
        <v/>
      </c>
      <c r="AB10">
        <f>HYPERLINK("https://klasma.github.io/Logging_0488/tillsynsmail/A 11736-2024 tillsynsbegäran mail.docx", "A 11736-2024")</f>
        <v/>
      </c>
      <c r="AC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46220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Spillkråka</t>
        </is>
      </c>
      <c r="V11">
        <f>HYPERLINK("https://klasma.github.io/Logging_0488/artfynd/A 51481-2024 artfynd.xlsx", "A 51481-2024")</f>
        <v/>
      </c>
      <c r="W11">
        <f>HYPERLINK("https://klasma.github.io/Logging_0488/kartor/A 51481-2024 karta.png", "A 51481-2024")</f>
        <v/>
      </c>
      <c r="Y11">
        <f>HYPERLINK("https://klasma.github.io/Logging_0488/klagomål/A 51481-2024 FSC-klagomål.docx", "A 51481-2024")</f>
        <v/>
      </c>
      <c r="Z11">
        <f>HYPERLINK("https://klasma.github.io/Logging_0488/klagomålsmail/A 51481-2024 FSC-klagomål mail.docx", "A 51481-2024")</f>
        <v/>
      </c>
      <c r="AA11">
        <f>HYPERLINK("https://klasma.github.io/Logging_0488/tillsyn/A 51481-2024 tillsynsbegäran.docx", "A 51481-2024")</f>
        <v/>
      </c>
      <c r="AB11">
        <f>HYPERLINK("https://klasma.github.io/Logging_0488/tillsynsmail/A 51481-2024 tillsynsbegäran mail.docx", "A 51481-2024")</f>
        <v/>
      </c>
      <c r="AC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46220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HYPERLINK("https://klasma.github.io/Logging_0488/artfynd/A 69966-2021 artfynd.xlsx", "A 69966-2021")</f>
        <v/>
      </c>
      <c r="W12">
        <f>HYPERLINK("https://klasma.github.io/Logging_0488/kartor/A 69966-2021 karta.png", "A 69966-2021")</f>
        <v/>
      </c>
      <c r="Y12">
        <f>HYPERLINK("https://klasma.github.io/Logging_0488/klagomål/A 69966-2021 FSC-klagomål.docx", "A 69966-2021")</f>
        <v/>
      </c>
      <c r="Z12">
        <f>HYPERLINK("https://klasma.github.io/Logging_0488/klagomålsmail/A 69966-2021 FSC-klagomål mail.docx", "A 69966-2021")</f>
        <v/>
      </c>
      <c r="AA12">
        <f>HYPERLINK("https://klasma.github.io/Logging_0488/tillsyn/A 69966-2021 tillsynsbegäran.docx", "A 69966-2021")</f>
        <v/>
      </c>
      <c r="AB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46220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Flattoppad klubbsvamp</t>
        </is>
      </c>
      <c r="V13">
        <f>HYPERLINK("https://klasma.github.io/Logging_0488/artfynd/A 57251-2025 artfynd.xlsx", "A 57251-2025")</f>
        <v/>
      </c>
      <c r="W13">
        <f>HYPERLINK("https://klasma.github.io/Logging_0488/kartor/A 57251-2025 karta.png", "A 57251-2025")</f>
        <v/>
      </c>
      <c r="Y13">
        <f>HYPERLINK("https://klasma.github.io/Logging_0488/klagomål/A 57251-2025 FSC-klagomål.docx", "A 57251-2025")</f>
        <v/>
      </c>
      <c r="Z13">
        <f>HYPERLINK("https://klasma.github.io/Logging_0488/klagomålsmail/A 57251-2025 FSC-klagomål mail.docx", "A 57251-2025")</f>
        <v/>
      </c>
      <c r="AA13">
        <f>HYPERLINK("https://klasma.github.io/Logging_0488/tillsyn/A 57251-2025 tillsynsbegäran.docx", "A 57251-2025")</f>
        <v/>
      </c>
      <c r="AB13">
        <f>HYPERLINK("https://klasma.github.io/Logging_0488/tillsynsmail/A 57251-2025 tillsynsbegäran mail.docx", "A 57251-2025")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46220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Älg</t>
        </is>
      </c>
      <c r="V14">
        <f>HYPERLINK("https://klasma.github.io/Logging_0488/artfynd/A 56117-2022 artfynd.xlsx", "A 56117-2022")</f>
        <v/>
      </c>
      <c r="W14">
        <f>HYPERLINK("https://klasma.github.io/Logging_0488/kartor/A 56117-2022 karta.png", "A 56117-2022")</f>
        <v/>
      </c>
      <c r="Y14">
        <f>HYPERLINK("https://klasma.github.io/Logging_0488/klagomål/A 56117-2022 FSC-klagomål.docx", "A 56117-2022")</f>
        <v/>
      </c>
      <c r="Z14">
        <f>HYPERLINK("https://klasma.github.io/Logging_0488/klagomålsmail/A 56117-2022 FSC-klagomål mail.docx", "A 56117-2022")</f>
        <v/>
      </c>
      <c r="AA14">
        <f>HYPERLINK("https://klasma.github.io/Logging_0488/tillsyn/A 56117-2022 tillsynsbegäran.docx", "A 56117-2022")</f>
        <v/>
      </c>
      <c r="AB14">
        <f>HYPERLINK("https://klasma.github.io/Logging_0488/tillsynsmail/A 56117-2022 tillsynsbegäran mail.docx", "A 56117-2022")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46220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HYPERLINK("https://klasma.github.io/Logging_0488/artfynd/A 10390-2026 artfynd.xlsx", "A 10390-2026")</f>
        <v/>
      </c>
      <c r="W15">
        <f>HYPERLINK("https://klasma.github.io/Logging_0488/kartor/A 10390-2026 karta.png", "A 10390-2026")</f>
        <v/>
      </c>
      <c r="Y15">
        <f>HYPERLINK("https://klasma.github.io/Logging_0488/klagomål/A 10390-2026 FSC-klagomål.docx", "A 10390-2026")</f>
        <v/>
      </c>
      <c r="Z15">
        <f>HYPERLINK("https://klasma.github.io/Logging_0488/klagomålsmail/A 10390-2026 FSC-klagomål mail.docx", "A 10390-2026")</f>
        <v/>
      </c>
      <c r="AA15">
        <f>HYPERLINK("https://klasma.github.io/Logging_0488/tillsyn/A 10390-2026 tillsynsbegäran.docx", "A 10390-2026")</f>
        <v/>
      </c>
      <c r="AB15">
        <f>HYPERLINK("https://klasma.github.io/Logging_0488/tillsynsmail/A 10390-2026 tillsynsbegäran mail.docx", "A 10390-2026")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46220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Kungsfågel</t>
        </is>
      </c>
      <c r="V16">
        <f>HYPERLINK("https://klasma.github.io/Logging_0488/artfynd/A 11123-2023 artfynd.xlsx", "A 11123-2023")</f>
        <v/>
      </c>
      <c r="W16">
        <f>HYPERLINK("https://klasma.github.io/Logging_0488/kartor/A 11123-2023 karta.png", "A 11123-2023")</f>
        <v/>
      </c>
      <c r="Y16">
        <f>HYPERLINK("https://klasma.github.io/Logging_0488/klagomål/A 11123-2023 FSC-klagomål.docx", "A 11123-2023")</f>
        <v/>
      </c>
      <c r="Z16">
        <f>HYPERLINK("https://klasma.github.io/Logging_0488/klagomålsmail/A 11123-2023 FSC-klagomål mail.docx", "A 11123-2023")</f>
        <v/>
      </c>
      <c r="AA16">
        <f>HYPERLINK("https://klasma.github.io/Logging_0488/tillsyn/A 11123-2023 tillsynsbegäran.docx", "A 11123-2023")</f>
        <v/>
      </c>
      <c r="AB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46220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Nötkråka</t>
        </is>
      </c>
      <c r="V17">
        <f>HYPERLINK("https://klasma.github.io/Logging_0488/artfynd/A 11066-2024 artfynd.xlsx", "A 11066-2024")</f>
        <v/>
      </c>
      <c r="W17">
        <f>HYPERLINK("https://klasma.github.io/Logging_0488/kartor/A 11066-2024 karta.png", "A 11066-2024")</f>
        <v/>
      </c>
      <c r="Y17">
        <f>HYPERLINK("https://klasma.github.io/Logging_0488/klagomål/A 11066-2024 FSC-klagomål.docx", "A 11066-2024")</f>
        <v/>
      </c>
      <c r="Z17">
        <f>HYPERLINK("https://klasma.github.io/Logging_0488/klagomålsmail/A 11066-2024 FSC-klagomål mail.docx", "A 11066-2024")</f>
        <v/>
      </c>
      <c r="AA17">
        <f>HYPERLINK("https://klasma.github.io/Logging_0488/tillsyn/A 11066-2024 tillsynsbegäran.docx", "A 11066-2024")</f>
        <v/>
      </c>
      <c r="AB17">
        <f>HYPERLINK("https://klasma.github.io/Logging_0488/tillsynsmail/A 11066-2024 tillsynsbegäran mail.docx", "A 11066-2024")</f>
        <v/>
      </c>
      <c r="AC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46220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Spillkråka</t>
        </is>
      </c>
      <c r="V18">
        <f>HYPERLINK("https://klasma.github.io/Logging_0488/artfynd/A 57004-2023 artfynd.xlsx", "A 57004-2023")</f>
        <v/>
      </c>
      <c r="W18">
        <f>HYPERLINK("https://klasma.github.io/Logging_0488/kartor/A 57004-2023 karta.png", "A 57004-2023")</f>
        <v/>
      </c>
      <c r="Y18">
        <f>HYPERLINK("https://klasma.github.io/Logging_0488/klagomål/A 57004-2023 FSC-klagomål.docx", "A 57004-2023")</f>
        <v/>
      </c>
      <c r="Z18">
        <f>HYPERLINK("https://klasma.github.io/Logging_0488/klagomålsmail/A 57004-2023 FSC-klagomål mail.docx", "A 57004-2023")</f>
        <v/>
      </c>
      <c r="AA18">
        <f>HYPERLINK("https://klasma.github.io/Logging_0488/tillsyn/A 57004-2023 tillsynsbegäran.docx", "A 57004-2023")</f>
        <v/>
      </c>
      <c r="AB18">
        <f>HYPERLINK("https://klasma.github.io/Logging_0488/tillsynsmail/A 57004-2023 tillsynsbegäran mail.docx", "A 57004-2023")</f>
        <v/>
      </c>
      <c r="AC18">
        <f>HYPERLINK("https://klasma.github.io/Logging_0488/fåglar/A 57004-2023 prioriterade fågelarter.docx", "A 57004-2023")</f>
        <v/>
      </c>
    </row>
    <row r="19" ht="15" customHeight="1">
      <c r="A19" t="inlineStr">
        <is>
          <t>A 59266-2021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46220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46220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56315-2021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44480</v>
      </c>
      <c r="E21" s="1" t="n">
        <v>46220</v>
      </c>
      <c r="F21" t="inlineStr">
        <is>
          <t>SÖDERMANLANDS LÄN</t>
        </is>
      </c>
      <c r="G21" t="inlineStr">
        <is>
          <t>TROSA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46220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46220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46220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46220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46220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46220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40169-2021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44418</v>
      </c>
      <c r="E28" s="1" t="n">
        <v>46220</v>
      </c>
      <c r="F28" t="inlineStr">
        <is>
          <t>SÖDERMANLANDS LÄN</t>
        </is>
      </c>
      <c r="G28" t="inlineStr">
        <is>
          <t>TROSA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46220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46220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46220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35054-2024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46220</v>
      </c>
      <c r="F32" t="inlineStr">
        <is>
          <t>SÖDERMANLANDS LÄN</t>
        </is>
      </c>
      <c r="G32" t="inlineStr">
        <is>
          <t>TROSA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46220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46220</v>
      </c>
      <c r="F34" t="inlineStr">
        <is>
          <t>SÖDERMANLANDS LÄN</t>
        </is>
      </c>
      <c r="G34" t="inlineStr">
        <is>
          <t>TROSA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46041</v>
      </c>
      <c r="E35" s="1" t="n">
        <v>46220</v>
      </c>
      <c r="F35" t="inlineStr">
        <is>
          <t>SÖDERMANLANDS LÄN</t>
        </is>
      </c>
      <c r="G35" t="inlineStr">
        <is>
          <t>TROSA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46041</v>
      </c>
      <c r="E36" s="1" t="n">
        <v>46220</v>
      </c>
      <c r="F36" t="inlineStr">
        <is>
          <t>SÖDERMANLANDS LÄN</t>
        </is>
      </c>
      <c r="G36" t="inlineStr">
        <is>
          <t>TROSA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44579-2022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46220</v>
      </c>
      <c r="F37" t="inlineStr">
        <is>
          <t>SÖDERMANLANDS LÄN</t>
        </is>
      </c>
      <c r="G37" t="inlineStr">
        <is>
          <t>TROSA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15293-2023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45019</v>
      </c>
      <c r="E38" s="1" t="n">
        <v>46220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12447-2024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46220</v>
      </c>
      <c r="F39" t="inlineStr">
        <is>
          <t>SÖDERMANLANDS LÄN</t>
        </is>
      </c>
      <c r="G39" t="inlineStr">
        <is>
          <t>TROSA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17600-2022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46220</v>
      </c>
      <c r="F40" t="inlineStr">
        <is>
          <t>SÖDERMANLANDS LÄN</t>
        </is>
      </c>
      <c r="G40" t="inlineStr">
        <is>
          <t>TROSA</t>
        </is>
      </c>
      <c r="I40" t="n">
        <v>7.7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55265-2025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46220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46220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57342-2025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46220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57338-2025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46220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46220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59222-2025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46220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10393-2026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46077</v>
      </c>
      <c r="E47" s="1" t="n">
        <v>46220</v>
      </c>
      <c r="F47" t="inlineStr">
        <is>
          <t>SÖDERMANLANDS LÄN</t>
        </is>
      </c>
      <c r="G47" t="inlineStr">
        <is>
          <t>TROSA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11119-2026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46079</v>
      </c>
      <c r="E48" s="1" t="n">
        <v>46220</v>
      </c>
      <c r="F48" t="inlineStr">
        <is>
          <t>SÖDERMANLANDS LÄN</t>
        </is>
      </c>
      <c r="G48" t="inlineStr">
        <is>
          <t>TROSA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11083-2026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46220</v>
      </c>
      <c r="F49" t="inlineStr">
        <is>
          <t>SÖDERMANLANDS LÄN</t>
        </is>
      </c>
      <c r="G49" t="inlineStr">
        <is>
          <t>TROSA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11039-2026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46220</v>
      </c>
      <c r="F50" t="inlineStr">
        <is>
          <t>SÖDERMANLANDS LÄN</t>
        </is>
      </c>
      <c r="G50" t="inlineStr">
        <is>
          <t>TROSA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11069-2026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46220</v>
      </c>
      <c r="F51" t="inlineStr">
        <is>
          <t>SÖDERMANLANDS LÄN</t>
        </is>
      </c>
      <c r="G51" t="inlineStr">
        <is>
          <t>TROSA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36709-2024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45537</v>
      </c>
      <c r="E52" s="1" t="n">
        <v>46220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36711-2024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46220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12574-2026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46220</v>
      </c>
      <c r="F54" t="inlineStr">
        <is>
          <t>SÖDERMANLANDS LÄN</t>
        </is>
      </c>
      <c r="G54" t="inlineStr">
        <is>
          <t>TROSA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46220</v>
      </c>
      <c r="F55" t="inlineStr">
        <is>
          <t>SÖDERMANLANDS LÄN</t>
        </is>
      </c>
      <c r="G55" t="inlineStr">
        <is>
          <t>TROSA</t>
        </is>
      </c>
      <c r="H55" t="inlineStr">
        <is>
          <t>Kommuner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29930-2022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46220</v>
      </c>
      <c r="F56" t="inlineStr">
        <is>
          <t>SÖDERMANLANDS LÄN</t>
        </is>
      </c>
      <c r="G56" t="inlineStr">
        <is>
          <t>TROSA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35058-2024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45527</v>
      </c>
      <c r="E57" s="1" t="n">
        <v>46220</v>
      </c>
      <c r="F57" t="inlineStr">
        <is>
          <t>SÖDERMANLANDS LÄN</t>
        </is>
      </c>
      <c r="G57" t="inlineStr">
        <is>
          <t>TROSA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62474-2022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46220</v>
      </c>
      <c r="F58" t="inlineStr">
        <is>
          <t>SÖDERMANLANDS LÄN</t>
        </is>
      </c>
      <c r="G58" t="inlineStr">
        <is>
          <t>TROSA</t>
        </is>
      </c>
      <c r="H58" t="inlineStr">
        <is>
          <t>Övriga Aktiebolag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20191-2026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46220</v>
      </c>
      <c r="F59" t="inlineStr">
        <is>
          <t>SÖDERMANLANDS LÄN</t>
        </is>
      </c>
      <c r="G59" t="inlineStr">
        <is>
          <t>TROSA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13810-2023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46220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32213-2025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45835</v>
      </c>
      <c r="E61" s="1" t="n">
        <v>46220</v>
      </c>
      <c r="F61" t="inlineStr">
        <is>
          <t>SÖDERMANLANDS LÄN</t>
        </is>
      </c>
      <c r="G61" t="inlineStr">
        <is>
          <t>TROSA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31166-2025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45832</v>
      </c>
      <c r="E62" s="1" t="n">
        <v>46220</v>
      </c>
      <c r="F62" t="inlineStr">
        <is>
          <t>SÖDERMANLANDS LÄN</t>
        </is>
      </c>
      <c r="G62" t="inlineStr">
        <is>
          <t>TROSA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46220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46220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46220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46220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46220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46220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46220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46220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46220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46220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46220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11103-2026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46079</v>
      </c>
      <c r="E74" s="1" t="n">
        <v>46220</v>
      </c>
      <c r="F74" t="inlineStr">
        <is>
          <t>SÖDERMANLANDS LÄN</t>
        </is>
      </c>
      <c r="G74" t="inlineStr">
        <is>
          <t>TROSA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46220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46220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46220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46220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46220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46220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46220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2026-07-17T01:43:30Z</dcterms:created>
  <dcterms:modified xmlns:dcterms="http://purl.org/dc/terms/" xmlns:xsi="http://www.w3.org/2001/XMLSchema-instance" xsi:type="dcterms:W3CDTF">2026-07-17T01:43:30Z</dcterms:modified>
</cp:coreProperties>
</file>