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46322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46322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31394-2026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46322</v>
      </c>
      <c r="F15" t="inlineStr">
        <is>
          <t>SÖDERMANLANDS LÄN</t>
        </is>
      </c>
      <c r="G15" t="inlineStr">
        <is>
          <t>TROSA</t>
        </is>
      </c>
      <c r="I15" t="n">
        <v>8.6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Vedskivlav</t>
        </is>
      </c>
      <c r="W15">
        <f>HYPERLINK("https://klasma.github.io/Logging_0488/artfynd/A 31394-2026 artfynd.xlsx", "A 31394-2026")</f>
        <v/>
      </c>
      <c r="X15">
        <f>HYPERLINK("https://klasma.github.io/Logging_0488/kartor/A 31394-2026 karta.png", "A 31394-2026")</f>
        <v/>
      </c>
      <c r="Y15">
        <f>HYPERLINK("https://klasma.github.io/Logging_0488/kartor_geotiff/A 31394-2026 georefererad karta.tif", "A 31394-2026")</f>
        <v/>
      </c>
      <c r="AA15">
        <f>HYPERLINK("https://klasma.github.io/Logging_0488/klagomål/A 31394-2026 FSC-klagomål.docx", "A 31394-2026")</f>
        <v/>
      </c>
      <c r="AB15">
        <f>HYPERLINK("https://klasma.github.io/Logging_0488/klagomålsmail/A 31394-2026 FSC-klagomål mail.docx", "A 31394-2026")</f>
        <v/>
      </c>
      <c r="AC15">
        <f>HYPERLINK("https://klasma.github.io/Logging_0488/tillsyn/A 31394-2026 tillsynsbegäran.docx", "A 31394-2026")</f>
        <v/>
      </c>
      <c r="AD15">
        <f>HYPERLINK("https://klasma.github.io/Logging_0488/tillsynsmail/A 31394-2026 tillsynsbegäran mail.docx", "A 31394-2026")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46322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56117-2022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46322</v>
      </c>
      <c r="F17" t="inlineStr">
        <is>
          <t>SÖDERMANLANDS LÄN</t>
        </is>
      </c>
      <c r="G17" t="inlineStr">
        <is>
          <t>TROSA</t>
        </is>
      </c>
      <c r="H17" t="inlineStr">
        <is>
          <t>Holmen skog AB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Älg</t>
        </is>
      </c>
      <c r="W17">
        <f>HYPERLINK("https://klasma.github.io/Logging_0488/artfynd/A 56117-2022 artfynd.xlsx", "A 56117-2022")</f>
        <v/>
      </c>
      <c r="X17">
        <f>HYPERLINK("https://klasma.github.io/Logging_0488/kartor/A 56117-2022 karta.png", "A 56117-2022")</f>
        <v/>
      </c>
      <c r="Y17">
        <f>HYPERLINK("https://klasma.github.io/Logging_0488/kartor_geotiff/A 56117-2022 georefererad karta.tif", "A 56117-2022")</f>
        <v/>
      </c>
      <c r="AA17">
        <f>HYPERLINK("https://klasma.github.io/Logging_0488/klagomål/A 56117-2022 FSC-klagomål.docx", "A 56117-2022")</f>
        <v/>
      </c>
      <c r="AB17">
        <f>HYPERLINK("https://klasma.github.io/Logging_0488/klagomålsmail/A 56117-2022 FSC-klagomål mail.docx", "A 56117-2022")</f>
        <v/>
      </c>
      <c r="AC17">
        <f>HYPERLINK("https://klasma.github.io/Logging_0488/tillsyn/A 56117-2022 tillsynsbegäran.docx", "A 56117-2022")</f>
        <v/>
      </c>
      <c r="AD17">
        <f>HYPERLINK("https://klasma.github.io/Logging_0488/tillsynsmail/A 56117-2022 tillsynsbegäran mail.docx", "A 56117-2022")</f>
        <v/>
      </c>
    </row>
    <row r="18" ht="15" customHeight="1">
      <c r="A18" t="inlineStr">
        <is>
          <t>A 11123-2023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44986</v>
      </c>
      <c r="E18" s="1" t="n">
        <v>46322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statliga verk och myndigheter</t>
        </is>
      </c>
      <c r="I18" t="n">
        <v>9.4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HYPERLINK("https://klasma.github.io/Logging_0488/artfynd/A 11123-2023 artfynd.xlsx", "A 11123-2023")</f>
        <v/>
      </c>
      <c r="X18">
        <f>HYPERLINK("https://klasma.github.io/Logging_0488/kartor/A 11123-2023 karta.png", "A 11123-2023")</f>
        <v/>
      </c>
      <c r="Y18">
        <f>HYPERLINK("https://klasma.github.io/Logging_0488/kartor_geotiff/A 11123-2023 georefererad karta.tif", "A 11123-2023")</f>
        <v/>
      </c>
      <c r="AA18">
        <f>HYPERLINK("https://klasma.github.io/Logging_0488/klagomål/A 11123-2023 FSC-klagomål.docx", "A 11123-2023")</f>
        <v/>
      </c>
      <c r="AB18">
        <f>HYPERLINK("https://klasma.github.io/Logging_0488/klagomålsmail/A 11123-2023 FSC-klagomål mail.docx", "A 11123-2023")</f>
        <v/>
      </c>
      <c r="AC18">
        <f>HYPERLINK("https://klasma.github.io/Logging_0488/tillsyn/A 11123-2023 tillsynsbegäran.docx", "A 11123-2023")</f>
        <v/>
      </c>
      <c r="AD18">
        <f>HYPERLINK("https://klasma.github.io/Logging_0488/tillsynsmail/A 11123-2023 tillsynsbegäran mail.docx", "A 11123-2023")</f>
        <v/>
      </c>
    </row>
    <row r="19" ht="15" customHeight="1">
      <c r="A19" t="inlineStr">
        <is>
          <t>A 11066-2024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46322</v>
      </c>
      <c r="F19" t="inlineStr">
        <is>
          <t>SÖDERMANLANDS LÄN</t>
        </is>
      </c>
      <c r="G19" t="inlineStr">
        <is>
          <t>TROSA</t>
        </is>
      </c>
      <c r="I19" t="n">
        <v>2.3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Nötkråka</t>
        </is>
      </c>
      <c r="W19">
        <f>HYPERLINK("https://klasma.github.io/Logging_0488/artfynd/A 11066-2024 artfynd.xlsx", "A 11066-2024")</f>
        <v/>
      </c>
      <c r="X19">
        <f>HYPERLINK("https://klasma.github.io/Logging_0488/kartor/A 11066-2024 karta.png", "A 11066-2024")</f>
        <v/>
      </c>
      <c r="Y19">
        <f>HYPERLINK("https://klasma.github.io/Logging_0488/kartor_geotiff/A 11066-2024 georefererad karta.tif", "A 11066-2024")</f>
        <v/>
      </c>
      <c r="AA19">
        <f>HYPERLINK("https://klasma.github.io/Logging_0488/klagomål/A 11066-2024 FSC-klagomål.docx", "A 11066-2024")</f>
        <v/>
      </c>
      <c r="AB19">
        <f>HYPERLINK("https://klasma.github.io/Logging_0488/klagomålsmail/A 11066-2024 FSC-klagomål mail.docx", "A 11066-2024")</f>
        <v/>
      </c>
      <c r="AC19">
        <f>HYPERLINK("https://klasma.github.io/Logging_0488/tillsyn/A 11066-2024 tillsynsbegäran.docx", "A 11066-2024")</f>
        <v/>
      </c>
      <c r="AD19">
        <f>HYPERLINK("https://klasma.github.io/Logging_0488/tillsynsmail/A 11066-2024 tillsynsbegäran mail.docx", "A 11066-2024")</f>
        <v/>
      </c>
      <c r="AE19">
        <f>HYPERLINK("https://klasma.github.io/Logging_0488/fåglar/A 11066-2024 prioriterade fågelarter.docx", "A 11066-2024")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46322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46322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46322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46322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46322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46322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45537</v>
      </c>
      <c r="E26" s="1" t="n">
        <v>46322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13839-2023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46322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46322</v>
      </c>
      <c r="F28" t="inlineStr">
        <is>
          <t>SÖDERMANLANDS LÄN</t>
        </is>
      </c>
      <c r="G28" t="inlineStr">
        <is>
          <t>TROSA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15169-2023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46322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46322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45933</v>
      </c>
      <c r="E31" s="1" t="n">
        <v>46322</v>
      </c>
      <c r="F31" t="inlineStr">
        <is>
          <t>SÖDERMANLANDS LÄN</t>
        </is>
      </c>
      <c r="G31" t="inlineStr">
        <is>
          <t>TROSA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13829-2023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45007</v>
      </c>
      <c r="E32" s="1" t="n">
        <v>46322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46322</v>
      </c>
      <c r="F33" t="inlineStr">
        <is>
          <t>SÖDERMANLANDS LÄN</t>
        </is>
      </c>
      <c r="G33" t="inlineStr">
        <is>
          <t>TROSA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46322</v>
      </c>
      <c r="F34" t="inlineStr">
        <is>
          <t>SÖDERMANLANDS LÄN</t>
        </is>
      </c>
      <c r="G34" t="inlineStr">
        <is>
          <t>TROSA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48793-2024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45593</v>
      </c>
      <c r="E35" s="1" t="n">
        <v>46322</v>
      </c>
      <c r="F35" t="inlineStr">
        <is>
          <t>SÖDERMANLANDS LÄN</t>
        </is>
      </c>
      <c r="G35" t="inlineStr">
        <is>
          <t>TROSA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46322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46322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46322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45979</v>
      </c>
      <c r="E39" s="1" t="n">
        <v>46322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46322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46322</v>
      </c>
      <c r="F41" t="inlineStr">
        <is>
          <t>SÖDERMANLANDS LÄN</t>
        </is>
      </c>
      <c r="G41" t="inlineStr">
        <is>
          <t>TROSA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46322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44579-2022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46322</v>
      </c>
      <c r="F43" t="inlineStr">
        <is>
          <t>SÖDERMANLANDS LÄN</t>
        </is>
      </c>
      <c r="G43" t="inlineStr">
        <is>
          <t>TROSA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46322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46322</v>
      </c>
      <c r="F45" t="inlineStr">
        <is>
          <t>SÖDERMANLANDS LÄN</t>
        </is>
      </c>
      <c r="G45" t="inlineStr">
        <is>
          <t>TROSA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46322</v>
      </c>
      <c r="F46" t="inlineStr">
        <is>
          <t>SÖDERMANLANDS LÄN</t>
        </is>
      </c>
      <c r="G46" t="inlineStr">
        <is>
          <t>TROSA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46041</v>
      </c>
      <c r="E47" s="1" t="n">
        <v>46322</v>
      </c>
      <c r="F47" t="inlineStr">
        <is>
          <t>SÖDERMANLANDS LÄN</t>
        </is>
      </c>
      <c r="G47" t="inlineStr">
        <is>
          <t>TROSA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46322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10393-2026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46077</v>
      </c>
      <c r="E49" s="1" t="n">
        <v>46322</v>
      </c>
      <c r="F49" t="inlineStr">
        <is>
          <t>SÖDERMANLANDS LÄN</t>
        </is>
      </c>
      <c r="G49" t="inlineStr">
        <is>
          <t>TROSA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46322</v>
      </c>
      <c r="F50" t="inlineStr">
        <is>
          <t>SÖDERMANLANDS LÄN</t>
        </is>
      </c>
      <c r="G50" t="inlineStr">
        <is>
          <t>TROSA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46322</v>
      </c>
      <c r="F51" t="inlineStr">
        <is>
          <t>SÖDERMANLANDS LÄN</t>
        </is>
      </c>
      <c r="G51" t="inlineStr">
        <is>
          <t>TROSA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11039-2026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46079</v>
      </c>
      <c r="E52" s="1" t="n">
        <v>46322</v>
      </c>
      <c r="F52" t="inlineStr">
        <is>
          <t>SÖDERMANLANDS LÄN</t>
        </is>
      </c>
      <c r="G52" t="inlineStr">
        <is>
          <t>TROSA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11069-2026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46079</v>
      </c>
      <c r="E53" s="1" t="n">
        <v>46322</v>
      </c>
      <c r="F53" t="inlineStr">
        <is>
          <t>SÖDERMANLANDS LÄN</t>
        </is>
      </c>
      <c r="G53" t="inlineStr">
        <is>
          <t>TROSA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12574-2026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46322</v>
      </c>
      <c r="F54" t="inlineStr">
        <is>
          <t>SÖDERMANLANDS LÄN</t>
        </is>
      </c>
      <c r="G54" t="inlineStr">
        <is>
          <t>TROSA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36709-2024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46322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36711-2024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46322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46322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46322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46322</v>
      </c>
      <c r="F59" t="inlineStr">
        <is>
          <t>SÖDERMANLANDS LÄN</t>
        </is>
      </c>
      <c r="G59" t="inlineStr">
        <is>
          <t>TROSA</t>
        </is>
      </c>
      <c r="H59" t="inlineStr">
        <is>
          <t>Kommuner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46322</v>
      </c>
      <c r="F60" t="inlineStr">
        <is>
          <t>SÖDERMANLANDS LÄN</t>
        </is>
      </c>
      <c r="G60" t="inlineStr">
        <is>
          <t>TROSA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46322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45527</v>
      </c>
      <c r="E62" s="1" t="n">
        <v>46322</v>
      </c>
      <c r="F62" t="inlineStr">
        <is>
          <t>SÖDERMANLANDS LÄN</t>
        </is>
      </c>
      <c r="G62" t="inlineStr">
        <is>
          <t>TROSA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46322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46322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46322</v>
      </c>
      <c r="F65" t="inlineStr">
        <is>
          <t>SÖDERMANLANDS LÄN</t>
        </is>
      </c>
      <c r="G65" t="inlineStr">
        <is>
          <t>TROSA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46322</v>
      </c>
      <c r="F66" t="inlineStr">
        <is>
          <t>SÖDERMANLANDS LÄN</t>
        </is>
      </c>
      <c r="G66" t="inlineStr">
        <is>
          <t>TROSA</t>
        </is>
      </c>
      <c r="H66" t="inlineStr">
        <is>
          <t>Holmen skog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46322</v>
      </c>
      <c r="F67" t="inlineStr">
        <is>
          <t>SÖDERMANLANDS LÄN</t>
        </is>
      </c>
      <c r="G67" t="inlineStr">
        <is>
          <t>TROSA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46322</v>
      </c>
      <c r="F68" t="inlineStr">
        <is>
          <t>SÖDERMANLANDS LÄN</t>
        </is>
      </c>
      <c r="G68" t="inlineStr">
        <is>
          <t>TROSA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46322</v>
      </c>
      <c r="F69" t="inlineStr">
        <is>
          <t>SÖDERMANLANDS LÄN</t>
        </is>
      </c>
      <c r="G69" t="inlineStr">
        <is>
          <t>TROSA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45344</v>
      </c>
      <c r="E70" s="1" t="n">
        <v>46322</v>
      </c>
      <c r="F70" t="inlineStr">
        <is>
          <t>SÖDERMANLANDS LÄN</t>
        </is>
      </c>
      <c r="G70" t="inlineStr">
        <is>
          <t>TROSA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46322</v>
      </c>
      <c r="F71" t="inlineStr">
        <is>
          <t>SÖDERMANLANDS LÄN</t>
        </is>
      </c>
      <c r="G71" t="inlineStr">
        <is>
          <t>TROSA</t>
        </is>
      </c>
      <c r="I71" t="n">
        <v>9.5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45027</v>
      </c>
      <c r="E72" s="1" t="n">
        <v>46322</v>
      </c>
      <c r="F72" t="inlineStr">
        <is>
          <t>SÖDERMANLANDS LÄN</t>
        </is>
      </c>
      <c r="G72" t="inlineStr">
        <is>
          <t>TROSA</t>
        </is>
      </c>
      <c r="H72" t="inlineStr">
        <is>
          <t>Holmen skog AB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46322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46322</v>
      </c>
      <c r="F74" t="inlineStr">
        <is>
          <t>SÖDERMANLANDS LÄN</t>
        </is>
      </c>
      <c r="G74" t="inlineStr">
        <is>
          <t>TROSA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13675-2025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45736</v>
      </c>
      <c r="E75" s="1" t="n">
        <v>46322</v>
      </c>
      <c r="F75" t="inlineStr">
        <is>
          <t>SÖDERMANLANDS LÄN</t>
        </is>
      </c>
      <c r="G75" t="inlineStr">
        <is>
          <t>TROSA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46322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46322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46322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46322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2026-10-27T03:10:51Z</dcterms:created>
  <dcterms:modified xmlns:dcterms="http://purl.org/dc/terms/" xmlns:xsi="http://www.w3.org/2001/XMLSchema-instance" xsi:type="dcterms:W3CDTF">2026-10-27T03:10:51Z</dcterms:modified>
</cp:coreProperties>
</file>