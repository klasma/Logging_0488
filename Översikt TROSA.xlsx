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46265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46265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46265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46265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46265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46265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46265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46265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46265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46265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46265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46265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46265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46265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46265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HYPERLINK("https://klasma.github.io/Logging_0488/artfynd/A 57004-2023 artfynd.xlsx", "A 57004-2023")</f>
        <v/>
      </c>
      <c r="X16">
        <f>HYPERLINK("https://klasma.github.io/Logging_0488/kartor/A 57004-2023 karta.png", "A 57004-2023")</f>
        <v/>
      </c>
      <c r="Y16">
        <f>HYPERLINK("https://klasma.github.io/Logging_0488/kartor_geotiff/A 57004-2023 georefererad karta.tif", "A 57004-2023")</f>
        <v/>
      </c>
      <c r="AA16">
        <f>HYPERLINK("https://klasma.github.io/Logging_0488/klagomål/A 57004-2023 FSC-klagomål.docx", "A 57004-2023")</f>
        <v/>
      </c>
      <c r="AB16">
        <f>HYPERLINK("https://klasma.github.io/Logging_0488/klagomålsmail/A 57004-2023 FSC-klagomål mail.docx", "A 57004-2023")</f>
        <v/>
      </c>
      <c r="AC16">
        <f>HYPERLINK("https://klasma.github.io/Logging_0488/tillsyn/A 57004-2023 tillsynsbegäran.docx", "A 57004-2023")</f>
        <v/>
      </c>
      <c r="AD16">
        <f>HYPERLINK("https://klasma.github.io/Logging_0488/tillsynsmail/A 57004-2023 tillsynsbegäran mail.docx", "A 57004-2023")</f>
        <v/>
      </c>
      <c r="AE16">
        <f>HYPERLINK("https://klasma.github.io/Logging_0488/fåglar/A 57004-2023 prioriterade fågelarter.docx", "A 57004-2023")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46265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HYPERLINK("https://klasma.github.io/Logging_0488/artfynd/A 10390-2026 artfynd.xlsx", "A 10390-2026")</f>
        <v/>
      </c>
      <c r="X17">
        <f>HYPERLINK("https://klasma.github.io/Logging_0488/kartor/A 10390-2026 karta.png", "A 10390-2026")</f>
        <v/>
      </c>
      <c r="Y17">
        <f>HYPERLINK("https://klasma.github.io/Logging_0488/kartor_geotiff/A 10390-2026 georefererad karta.tif", "A 10390-2026")</f>
        <v/>
      </c>
      <c r="AA17">
        <f>HYPERLINK("https://klasma.github.io/Logging_0488/klagomål/A 10390-2026 FSC-klagomål.docx", "A 10390-2026")</f>
        <v/>
      </c>
      <c r="AB17">
        <f>HYPERLINK("https://klasma.github.io/Logging_0488/klagomålsmail/A 10390-2026 FSC-klagomål mail.docx", "A 10390-2026")</f>
        <v/>
      </c>
      <c r="AC17">
        <f>HYPERLINK("https://klasma.github.io/Logging_0488/tillsyn/A 10390-2026 tillsynsbegäran.docx", "A 10390-2026")</f>
        <v/>
      </c>
      <c r="AD17">
        <f>HYPERLINK("https://klasma.github.io/Logging_0488/tillsynsmail/A 10390-2026 tillsynsbegäran mail.docx", "A 10390-2026")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46265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HYPERLINK("https://klasma.github.io/Logging_0488/artfynd/A 56117-2022 artfynd.xlsx", "A 56117-2022")</f>
        <v/>
      </c>
      <c r="X18">
        <f>HYPERLINK("https://klasma.github.io/Logging_0488/kartor/A 56117-2022 karta.png", "A 56117-2022")</f>
        <v/>
      </c>
      <c r="Y18">
        <f>HYPERLINK("https://klasma.github.io/Logging_0488/kartor_geotiff/A 56117-2022 georefererad karta.tif", "A 56117-2022")</f>
        <v/>
      </c>
      <c r="AA18">
        <f>HYPERLINK("https://klasma.github.io/Logging_0488/klagomål/A 56117-2022 FSC-klagomål.docx", "A 56117-2022")</f>
        <v/>
      </c>
      <c r="AB18">
        <f>HYPERLINK("https://klasma.github.io/Logging_0488/klagomålsmail/A 56117-2022 FSC-klagomål mail.docx", "A 56117-2022")</f>
        <v/>
      </c>
      <c r="AC18">
        <f>HYPERLINK("https://klasma.github.io/Logging_0488/tillsyn/A 56117-2022 tillsynsbegäran.docx", "A 56117-2022")</f>
        <v/>
      </c>
      <c r="AD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46265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46265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46265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46265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46265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46265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46265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46265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63049-2021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46265</v>
      </c>
      <c r="F27" t="inlineStr">
        <is>
          <t>SÖDERMANLANDS LÄN</t>
        </is>
      </c>
      <c r="G27" t="inlineStr">
        <is>
          <t>TROSA</t>
        </is>
      </c>
      <c r="H27" t="inlineStr">
        <is>
          <t>Holmen skog AB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46265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48793-2024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45593</v>
      </c>
      <c r="E29" s="1" t="n">
        <v>46265</v>
      </c>
      <c r="F29" t="inlineStr">
        <is>
          <t>SÖDERMANLANDS LÄN</t>
        </is>
      </c>
      <c r="G29" t="inlineStr">
        <is>
          <t>TROSA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55257-2025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46265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55265-2025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46265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35054-2024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46265</v>
      </c>
      <c r="F32" t="inlineStr">
        <is>
          <t>SÖDERMANLANDS LÄN</t>
        </is>
      </c>
      <c r="G32" t="inlineStr">
        <is>
          <t>TROSA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36709-2024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46265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36711-2024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45537</v>
      </c>
      <c r="E34" s="1" t="n">
        <v>46265</v>
      </c>
      <c r="F34" t="inlineStr">
        <is>
          <t>SÖDERMANLANDS LÄN</t>
        </is>
      </c>
      <c r="G34" t="inlineStr">
        <is>
          <t>TROSA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1589-2023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44937</v>
      </c>
      <c r="E35" s="1" t="n">
        <v>46265</v>
      </c>
      <c r="F35" t="inlineStr">
        <is>
          <t>SÖDERMANLANDS LÄN</t>
        </is>
      </c>
      <c r="G35" t="inlineStr">
        <is>
          <t>TROSA</t>
        </is>
      </c>
      <c r="I35" t="n">
        <v>7.1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57342-2025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45979</v>
      </c>
      <c r="E36" s="1" t="n">
        <v>46265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57338-2025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45979</v>
      </c>
      <c r="E37" s="1" t="n">
        <v>46265</v>
      </c>
      <c r="F37" t="inlineStr">
        <is>
          <t>SÖDERMANLANDS LÄN</t>
        </is>
      </c>
      <c r="G37" t="inlineStr">
        <is>
          <t>TROSA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57344-2025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45979</v>
      </c>
      <c r="E38" s="1" t="n">
        <v>46265</v>
      </c>
      <c r="F38" t="inlineStr">
        <is>
          <t>SÖDERMANLANDS LÄN</t>
        </is>
      </c>
      <c r="G38" t="inlineStr">
        <is>
          <t>TROSA</t>
        </is>
      </c>
      <c r="H38" t="inlineStr">
        <is>
          <t>Övriga Aktiebolag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46265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62474-2022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44916</v>
      </c>
      <c r="E40" s="1" t="n">
        <v>46265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46265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59222-2025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46265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46265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16029-2023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45027</v>
      </c>
      <c r="E44" s="1" t="n">
        <v>46265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45344</v>
      </c>
      <c r="E45" s="1" t="n">
        <v>46265</v>
      </c>
      <c r="F45" t="inlineStr">
        <is>
          <t>SÖDERMANLANDS LÄN</t>
        </is>
      </c>
      <c r="G45" t="inlineStr">
        <is>
          <t>TROSA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44599</v>
      </c>
      <c r="E46" s="1" t="n">
        <v>46265</v>
      </c>
      <c r="F46" t="inlineStr">
        <is>
          <t>SÖDERMANLANDS LÄN</t>
        </is>
      </c>
      <c r="G46" t="inlineStr">
        <is>
          <t>TROSA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13829-2023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46265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46041</v>
      </c>
      <c r="E48" s="1" t="n">
        <v>46265</v>
      </c>
      <c r="F48" t="inlineStr">
        <is>
          <t>SÖDERMANLANDS LÄN</t>
        </is>
      </c>
      <c r="G48" t="inlineStr">
        <is>
          <t>TROSA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46041</v>
      </c>
      <c r="E49" s="1" t="n">
        <v>46265</v>
      </c>
      <c r="F49" t="inlineStr">
        <is>
          <t>SÖDERMANLANDS LÄN</t>
        </is>
      </c>
      <c r="G49" t="inlineStr">
        <is>
          <t>TROSA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62473-2022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44916</v>
      </c>
      <c r="E50" s="1" t="n">
        <v>46265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12447-2024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45379</v>
      </c>
      <c r="E51" s="1" t="n">
        <v>46265</v>
      </c>
      <c r="F51" t="inlineStr">
        <is>
          <t>SÖDERMANLANDS LÄN</t>
        </is>
      </c>
      <c r="G51" t="inlineStr">
        <is>
          <t>TROSA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45373</v>
      </c>
      <c r="E52" s="1" t="n">
        <v>46265</v>
      </c>
      <c r="F52" t="inlineStr">
        <is>
          <t>SÖDERMANLANDS LÄN</t>
        </is>
      </c>
      <c r="G52" t="inlineStr">
        <is>
          <t>TROSA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45553</v>
      </c>
      <c r="E53" s="1" t="n">
        <v>46265</v>
      </c>
      <c r="F53" t="inlineStr">
        <is>
          <t>SÖDERMANLANDS LÄN</t>
        </is>
      </c>
      <c r="G53" t="inlineStr">
        <is>
          <t>TROSA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10393-2026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46077</v>
      </c>
      <c r="E54" s="1" t="n">
        <v>46265</v>
      </c>
      <c r="F54" t="inlineStr">
        <is>
          <t>SÖDERMANLANDS LÄN</t>
        </is>
      </c>
      <c r="G54" t="inlineStr">
        <is>
          <t>TROSA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11069-2026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46079</v>
      </c>
      <c r="E55" s="1" t="n">
        <v>46265</v>
      </c>
      <c r="F55" t="inlineStr">
        <is>
          <t>SÖDERMANLANDS LÄN</t>
        </is>
      </c>
      <c r="G55" t="inlineStr">
        <is>
          <t>TROSA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11119-2026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46079</v>
      </c>
      <c r="E56" s="1" t="n">
        <v>46265</v>
      </c>
      <c r="F56" t="inlineStr">
        <is>
          <t>SÖDERMANLANDS LÄN</t>
        </is>
      </c>
      <c r="G56" t="inlineStr">
        <is>
          <t>TROSA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11039-2026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46079</v>
      </c>
      <c r="E57" s="1" t="n">
        <v>46265</v>
      </c>
      <c r="F57" t="inlineStr">
        <is>
          <t>SÖDERMANLANDS LÄN</t>
        </is>
      </c>
      <c r="G57" t="inlineStr">
        <is>
          <t>TROSA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11083-2026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46079</v>
      </c>
      <c r="E58" s="1" t="n">
        <v>46265</v>
      </c>
      <c r="F58" t="inlineStr">
        <is>
          <t>SÖDERMANLANDS LÄN</t>
        </is>
      </c>
      <c r="G58" t="inlineStr">
        <is>
          <t>TROSA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12574-2026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46090</v>
      </c>
      <c r="E59" s="1" t="n">
        <v>46265</v>
      </c>
      <c r="F59" t="inlineStr">
        <is>
          <t>SÖDERMANLANDS LÄN</t>
        </is>
      </c>
      <c r="G59" t="inlineStr">
        <is>
          <t>TROSA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13675-2025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45736</v>
      </c>
      <c r="E60" s="1" t="n">
        <v>46265</v>
      </c>
      <c r="F60" t="inlineStr">
        <is>
          <t>SÖDERMANLANDS LÄN</t>
        </is>
      </c>
      <c r="G60" t="inlineStr">
        <is>
          <t>TROSA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32213-2025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45835</v>
      </c>
      <c r="E61" s="1" t="n">
        <v>46265</v>
      </c>
      <c r="F61" t="inlineStr">
        <is>
          <t>SÖDERMANLANDS LÄN</t>
        </is>
      </c>
      <c r="G61" t="inlineStr">
        <is>
          <t>TROSA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31166-2025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45832</v>
      </c>
      <c r="E62" s="1" t="n">
        <v>46265</v>
      </c>
      <c r="F62" t="inlineStr">
        <is>
          <t>SÖDERMANLANDS LÄN</t>
        </is>
      </c>
      <c r="G62" t="inlineStr">
        <is>
          <t>TROSA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46265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64286-2023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46265</v>
      </c>
      <c r="F64" t="inlineStr">
        <is>
          <t>SÖDERMANLANDS LÄN</t>
        </is>
      </c>
      <c r="G64" t="inlineStr">
        <is>
          <t>TROSA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46265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46265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46265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36712-2024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46265</v>
      </c>
      <c r="F68" t="inlineStr">
        <is>
          <t>SÖDERMANLANDS LÄN</t>
        </is>
      </c>
      <c r="G68" t="inlineStr">
        <is>
          <t>TROSA</t>
        </is>
      </c>
      <c r="H68" t="inlineStr">
        <is>
          <t>Övriga Aktiebolag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46265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46265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46265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20191-2026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46139</v>
      </c>
      <c r="E72" s="1" t="n">
        <v>46265</v>
      </c>
      <c r="F72" t="inlineStr">
        <is>
          <t>SÖDERMANLANDS LÄN</t>
        </is>
      </c>
      <c r="G72" t="inlineStr">
        <is>
          <t>TROSA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46265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46265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46265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46265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46265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46265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46079</v>
      </c>
      <c r="E79" s="1" t="n">
        <v>46265</v>
      </c>
      <c r="F79" t="inlineStr">
        <is>
          <t>SÖDERMANLANDS LÄN</t>
        </is>
      </c>
      <c r="G79" t="inlineStr">
        <is>
          <t>TROSA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46265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46265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2026-08-31T10:01:18Z</dcterms:created>
  <dcterms:modified xmlns:dcterms="http://purl.org/dc/terms/" xmlns:xsi="http://www.w3.org/2001/XMLSchema-instance" xsi:type="dcterms:W3CDTF">2026-08-31T10:01:18Z</dcterms:modified>
</cp:coreProperties>
</file>